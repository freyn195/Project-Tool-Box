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mc:AlternateContent xmlns:mc="http://schemas.openxmlformats.org/markup-compatibility/2006">
    <mc:Choice Requires="x15">
      <x15ac:absPath xmlns:x15ac="http://schemas.microsoft.com/office/spreadsheetml/2010/11/ac" url="https://d.docs.live.net/621ca88b8ebaa824/Desktop/"/>
    </mc:Choice>
  </mc:AlternateContent>
  <xr:revisionPtr revIDLastSave="0" documentId="8_{13BB31F5-7DDE-4611-BEFC-96F84C60BCDF}" xr6:coauthVersionLast="45" xr6:coauthVersionMax="45" xr10:uidLastSave="{00000000-0000-0000-0000-000000000000}"/>
  <workbookProtection lockStructure="1"/>
  <bookViews>
    <workbookView xWindow="-108" yWindow="-108" windowWidth="23256" windowHeight="12576" xr2:uid="{00000000-000D-0000-FFFF-FFFF00000000}"/>
  </bookViews>
  <sheets>
    <sheet name="Purpose" sheetId="14" r:id="rId1"/>
    <sheet name="Crew Report" sheetId="1" r:id="rId2"/>
    <sheet name="Dropdowns" sheetId="12" r:id="rId3"/>
    <sheet name="Database" sheetId="10" r:id="rId4"/>
    <sheet name="CON-9" sheetId="13" r:id="rId5"/>
  </sheets>
  <functionGroups builtInGroupCount="19"/>
  <externalReferences>
    <externalReference r:id="rId6"/>
  </externalReferences>
  <definedNames>
    <definedName name="Antes">#REF!</definedName>
    <definedName name="Antes_de_Produccion">#REF!</definedName>
    <definedName name="AntesManufactures_Defect_Defecto_Fabricante">#REF!</definedName>
    <definedName name="Before_Production">#REF!</definedName>
    <definedName name="Causas">#REF!</definedName>
    <definedName name="Classification">Dropdowns!$B$1:$B$23</definedName>
    <definedName name="COST">'CON-9'!$A$1:$T$41</definedName>
    <definedName name="Cuando">#REF!</definedName>
    <definedName name="Cuando_When?">#REF!</definedName>
    <definedName name="Damaged">#REF!</definedName>
    <definedName name="Defectos">#REF!</definedName>
    <definedName name="Defectos_Damages">#REF!</definedName>
    <definedName name="Defects">#REF!</definedName>
    <definedName name="En_Produccion">#REF!</definedName>
    <definedName name="Imagen">INDIRECT("Imagen!$A$"&amp;VLOOKUP('Crew Report'!#REF!,'Crew Report'!$D$1:$E$45,2,FALSE))</definedName>
    <definedName name="Images">INDIRECT("ProductImages!$A$"&amp;VLOOKUP('Crew Report'!#REF!,'Crew Report'!$D$1:$E$28,2,FALSE))</definedName>
    <definedName name="In_Production">#REF!</definedName>
    <definedName name="Names">Dropdowns!$A$1:$A$23</definedName>
    <definedName name="_xlnm.Print_Area" localSheetId="4">'CON-9'!$A$1:$S$42</definedName>
    <definedName name="_xlnm.Print_Area" localSheetId="1">'Crew Report'!$B$1:$N$86</definedName>
    <definedName name="Problem_Cause">#REF!</definedName>
    <definedName name="Produccion">#REF!</definedName>
    <definedName name="Production">#REF!</definedName>
    <definedName name="Products">OFFSET('Crew Report'!$D$1,0,0,COUNTA('Crew Report'!$D:$D,1))</definedName>
    <definedName name="Reasons">#REF!</definedName>
    <definedName name="Vehicles">Dropdowns!$C$1:$C$32</definedName>
    <definedName name="When">#REF!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8" i="1" l="1"/>
  <c r="U37" i="1"/>
  <c r="T36" i="1"/>
  <c r="T11" i="1"/>
  <c r="E11" i="1" s="1"/>
  <c r="A16" i="13"/>
  <c r="A16" i="1"/>
  <c r="A203" i="13"/>
  <c r="G202" i="13"/>
  <c r="P38" i="13"/>
  <c r="S35" i="13"/>
  <c r="S34" i="13"/>
  <c r="S33" i="13"/>
  <c r="F33" i="13"/>
  <c r="S32" i="13"/>
  <c r="F32" i="13"/>
  <c r="S31" i="13"/>
  <c r="L31" i="13"/>
  <c r="F31" i="13"/>
  <c r="S30" i="13"/>
  <c r="L30" i="13"/>
  <c r="F30" i="13"/>
  <c r="S29" i="13"/>
  <c r="L29" i="13"/>
  <c r="F29" i="13"/>
  <c r="S28" i="13"/>
  <c r="L28" i="13"/>
  <c r="S27" i="13"/>
  <c r="L27" i="13"/>
  <c r="F27" i="13"/>
  <c r="S26" i="13"/>
  <c r="L26" i="13"/>
  <c r="F26" i="13"/>
  <c r="S25" i="13"/>
  <c r="L25" i="13"/>
  <c r="F25" i="13"/>
  <c r="S24" i="13"/>
  <c r="L24" i="13"/>
  <c r="F24" i="13"/>
  <c r="S23" i="13"/>
  <c r="L23" i="13"/>
  <c r="F23" i="13"/>
  <c r="S22" i="13"/>
  <c r="L22" i="13"/>
  <c r="F22" i="13"/>
  <c r="S21" i="13"/>
  <c r="L21" i="13"/>
  <c r="F21" i="13"/>
  <c r="S20" i="13"/>
  <c r="L20" i="13"/>
  <c r="F20" i="13"/>
  <c r="S19" i="13"/>
  <c r="L19" i="13"/>
  <c r="F19" i="13"/>
  <c r="S18" i="13"/>
  <c r="L18" i="13"/>
  <c r="F18" i="13"/>
  <c r="S17" i="13"/>
  <c r="L17" i="13"/>
  <c r="F17" i="13"/>
  <c r="S16" i="13"/>
  <c r="L16" i="13"/>
  <c r="F16" i="13"/>
  <c r="N12" i="13"/>
  <c r="T68" i="1"/>
  <c r="F28" i="13" l="1"/>
  <c r="F34" i="13" s="1"/>
  <c r="L32" i="13"/>
  <c r="L34" i="13" s="1"/>
  <c r="S36" i="13"/>
  <c r="U39" i="1"/>
  <c r="T69" i="1"/>
  <c r="L36" i="13" l="1"/>
  <c r="L35" i="13"/>
  <c r="F35" i="13"/>
  <c r="F36" i="13" s="1"/>
  <c r="S38" i="13" s="1"/>
</calcChain>
</file>

<file path=xl/sharedStrings.xml><?xml version="1.0" encoding="utf-8"?>
<sst xmlns="http://schemas.openxmlformats.org/spreadsheetml/2006/main" count="294" uniqueCount="250">
  <si>
    <t xml:space="preserve"> </t>
  </si>
  <si>
    <t>Date</t>
  </si>
  <si>
    <t>No</t>
  </si>
  <si>
    <t>Audited by:</t>
  </si>
  <si>
    <t>Daily utilization completed:   Y     N    N/R</t>
  </si>
  <si>
    <t xml:space="preserve">Administrative E-mail sent:     Yes      No         N/R      Date / Time:     </t>
  </si>
  <si>
    <t xml:space="preserve">Administrative e-mail activity code: </t>
  </si>
  <si>
    <t>Wayside Substation Project Crew report</t>
  </si>
  <si>
    <t>Date:</t>
  </si>
  <si>
    <t>Day:</t>
  </si>
  <si>
    <t>Start Shift:</t>
  </si>
  <si>
    <t>End Shift:</t>
  </si>
  <si>
    <t>Structure # end:</t>
  </si>
  <si>
    <t>Track access location # 1:</t>
  </si>
  <si>
    <t>Track access location # 2</t>
  </si>
  <si>
    <t>Work Zone cat. ID. # 1:</t>
  </si>
  <si>
    <t>Work Zone cat ID. # 2:</t>
  </si>
  <si>
    <t>What time did AMR crews arrive at work zone or site:</t>
  </si>
  <si>
    <r>
      <rPr>
        <i/>
        <sz val="14"/>
        <color theme="1"/>
        <rFont val="Trebuchet MS"/>
        <family val="2"/>
        <scheme val="minor"/>
      </rPr>
      <t xml:space="preserve">Did AMR request a track  outage in advance of work shift:       </t>
    </r>
    <r>
      <rPr>
        <b/>
        <sz val="14"/>
        <color theme="1"/>
        <rFont val="Trebuchet MS"/>
        <family val="2"/>
        <scheme val="minor"/>
      </rPr>
      <t xml:space="preserve">  </t>
    </r>
  </si>
  <si>
    <r>
      <rPr>
        <i/>
        <sz val="14"/>
        <color theme="1"/>
        <rFont val="Trebuchet MS"/>
        <family val="2"/>
        <scheme val="minor"/>
      </rPr>
      <t xml:space="preserve">Did MNR provide the track outage as requested: </t>
    </r>
    <r>
      <rPr>
        <b/>
        <sz val="14"/>
        <color theme="1"/>
        <rFont val="Trebuchet MS"/>
        <family val="2"/>
        <scheme val="minor"/>
      </rPr>
      <t xml:space="preserve">                           </t>
    </r>
  </si>
  <si>
    <r>
      <rPr>
        <i/>
        <sz val="14"/>
        <color theme="1"/>
        <rFont val="Trebuchet MS"/>
        <family val="2"/>
        <scheme val="minor"/>
      </rPr>
      <t xml:space="preserve">Did AMR request a power outage in advance of work shift:     </t>
    </r>
    <r>
      <rPr>
        <b/>
        <sz val="14"/>
        <color theme="1"/>
        <rFont val="Trebuchet MS"/>
        <family val="2"/>
        <scheme val="minor"/>
      </rPr>
      <t xml:space="preserve">   </t>
    </r>
  </si>
  <si>
    <r>
      <rPr>
        <i/>
        <sz val="14"/>
        <color theme="1"/>
        <rFont val="Trebuchet MS"/>
        <family val="2"/>
        <scheme val="minor"/>
      </rPr>
      <t>Did MNR shut down or ground out power as requested:</t>
    </r>
    <r>
      <rPr>
        <b/>
        <sz val="14"/>
        <color theme="1"/>
        <rFont val="Trebuchet MS"/>
        <family val="2"/>
        <scheme val="minor"/>
      </rPr>
      <t xml:space="preserve">             </t>
    </r>
  </si>
  <si>
    <r>
      <rPr>
        <i/>
        <sz val="14"/>
        <color theme="1"/>
        <rFont val="Trebuchet MS"/>
        <family val="2"/>
        <scheme val="minor"/>
      </rPr>
      <t xml:space="preserve">Did AMR ground out any power, signal or tracks:    </t>
    </r>
    <r>
      <rPr>
        <b/>
        <sz val="14"/>
        <color theme="1"/>
        <rFont val="Trebuchet MS"/>
        <family val="2"/>
        <scheme val="minor"/>
      </rPr>
      <t xml:space="preserve">                       </t>
    </r>
  </si>
  <si>
    <r>
      <rPr>
        <i/>
        <sz val="14"/>
        <color theme="1"/>
        <rFont val="Trebuchet MS"/>
        <family val="2"/>
        <scheme val="minor"/>
      </rPr>
      <t>Did any AMR high rail  equipment pass thru any on track switches:</t>
    </r>
    <r>
      <rPr>
        <b/>
        <sz val="14"/>
        <color theme="1"/>
        <rFont val="Trebuchet MS"/>
        <family val="2"/>
        <scheme val="minor"/>
      </rPr>
      <t xml:space="preserve">     </t>
    </r>
  </si>
  <si>
    <r>
      <t xml:space="preserve">Did MNR delay AMR crew during this shift (if yes explain on rear)   </t>
    </r>
    <r>
      <rPr>
        <b/>
        <i/>
        <sz val="14"/>
        <color theme="1"/>
        <rFont val="Trebuchet MS"/>
        <family val="2"/>
        <scheme val="minor"/>
      </rPr>
      <t xml:space="preserve">   </t>
    </r>
  </si>
  <si>
    <t>What time did AMR crews leave MNR property:</t>
  </si>
  <si>
    <t>high rail or support equipment utilized</t>
  </si>
  <si>
    <t>Veh. ID</t>
  </si>
  <si>
    <t>Vehicle Description</t>
  </si>
  <si>
    <t>Number of High rail trucks on Track   0   1   2   3   4    5   6 +</t>
  </si>
  <si>
    <t>Crew member names</t>
  </si>
  <si>
    <t xml:space="preserve">Start </t>
  </si>
  <si>
    <t>End</t>
  </si>
  <si>
    <t>Total</t>
  </si>
  <si>
    <t>AMR Foreman or lead man:</t>
  </si>
  <si>
    <t>AI / CDOT Inspector:</t>
  </si>
  <si>
    <t>AMR 2-27-2016</t>
  </si>
  <si>
    <t>Page 1 of 2</t>
  </si>
  <si>
    <t>Date of Audit:</t>
  </si>
  <si>
    <t>outages time lines granted and returned:</t>
  </si>
  <si>
    <t>Track outage</t>
  </si>
  <si>
    <t xml:space="preserve">Time the track </t>
  </si>
  <si>
    <t>Time AMR gave</t>
  </si>
  <si>
    <t>What power outage</t>
  </si>
  <si>
    <t>Time the power outage</t>
  </si>
  <si>
    <t>Provided by MNR</t>
  </si>
  <si>
    <t>outage provided</t>
  </si>
  <si>
    <t>back the track</t>
  </si>
  <si>
    <t>was provided by MNR</t>
  </si>
  <si>
    <t>TR 3 (example)</t>
  </si>
  <si>
    <t>9:30 AM (example)</t>
  </si>
  <si>
    <t>2:30pm (example)</t>
  </si>
  <si>
    <t>Track 3 (example)</t>
  </si>
  <si>
    <t>10:00 am (example)</t>
  </si>
  <si>
    <t>2:30 pm (example)</t>
  </si>
  <si>
    <t xml:space="preserve">Any Sub Contractors on Site:         </t>
  </si>
  <si>
    <t>If yes Who:</t>
  </si>
  <si>
    <t>number and classification of Sub contractor labor force list below</t>
  </si>
  <si>
    <t>Task to be performed:</t>
  </si>
  <si>
    <t xml:space="preserve">Hazards Involved: </t>
  </si>
  <si>
    <t xml:space="preserve">JHA / reviewed with men prior to start: </t>
  </si>
  <si>
    <r>
      <t>Note:</t>
    </r>
    <r>
      <rPr>
        <b/>
        <i/>
        <sz val="14"/>
        <color theme="1"/>
        <rFont val="Trebuchet MS"/>
        <family val="2"/>
        <scheme val="minor"/>
      </rPr>
      <t xml:space="preserve"> </t>
    </r>
    <r>
      <rPr>
        <i/>
        <sz val="14"/>
        <color theme="1"/>
        <rFont val="Trebuchet MS"/>
        <family val="2"/>
        <scheme val="minor"/>
      </rPr>
      <t>attach additional pages if needed</t>
    </r>
  </si>
  <si>
    <t>Materials, tool, supplies installed, consumed or needed:</t>
  </si>
  <si>
    <t>Site 6 (north side) Site 6A (Monroe st. parking) Site 6B (Norwalk PD side)</t>
  </si>
  <si>
    <t>AMR Foreman (print):</t>
  </si>
  <si>
    <t>Time:</t>
  </si>
  <si>
    <t>Page 2 of 2</t>
  </si>
  <si>
    <t>Day</t>
  </si>
  <si>
    <t>Start Shift</t>
  </si>
  <si>
    <t>End Shift</t>
  </si>
  <si>
    <t>Site #</t>
  </si>
  <si>
    <t>On Track</t>
  </si>
  <si>
    <t>Equip. on Track</t>
  </si>
  <si>
    <t>Track access location on # 1</t>
  </si>
  <si>
    <t>Did AMR req. a track outage in adv.</t>
  </si>
  <si>
    <t>Did MNR provide track outage</t>
  </si>
  <si>
    <t xml:space="preserve">Did MNR shut down or ground out power per request </t>
  </si>
  <si>
    <t xml:space="preserve">Did MNR delay AMR </t>
  </si>
  <si>
    <t>Total Men</t>
  </si>
  <si>
    <t>Track Outage</t>
  </si>
  <si>
    <t>Time AMR gave back track</t>
  </si>
  <si>
    <t>What pwr outage did MNR provide</t>
  </si>
  <si>
    <t>Time pwr outage was provided</t>
  </si>
  <si>
    <t>Time AMR gave pwr back</t>
  </si>
  <si>
    <t>Narrative</t>
  </si>
  <si>
    <t>Adminstrative E-mail Needed</t>
  </si>
  <si>
    <t>Time of Track Outage</t>
  </si>
  <si>
    <r>
      <t xml:space="preserve">Any CONN-9 or extra work performed today?     </t>
    </r>
    <r>
      <rPr>
        <b/>
        <i/>
        <sz val="14"/>
        <color theme="1"/>
        <rFont val="Trebuchet MS"/>
        <family val="2"/>
        <scheme val="minor"/>
      </rPr>
      <t xml:space="preserve"> </t>
    </r>
  </si>
  <si>
    <t xml:space="preserve">Grounds applied    </t>
  </si>
  <si>
    <t xml:space="preserve"> Grounds removed</t>
  </si>
  <si>
    <t>Name</t>
  </si>
  <si>
    <t>Kevin Mulligan</t>
  </si>
  <si>
    <t>Joe Handy</t>
  </si>
  <si>
    <t>Paul Palmer</t>
  </si>
  <si>
    <t>Steve Homic</t>
  </si>
  <si>
    <t>Sean Haliana</t>
  </si>
  <si>
    <t>Jerry Lawrence</t>
  </si>
  <si>
    <t>Chris Mcmahon</t>
  </si>
  <si>
    <t>Mike Narzucco</t>
  </si>
  <si>
    <t>Frank Denelo</t>
  </si>
  <si>
    <t>Posk Gjoka</t>
  </si>
  <si>
    <t xml:space="preserve">Matt H. </t>
  </si>
  <si>
    <t xml:space="preserve">Jeff </t>
  </si>
  <si>
    <t>Helder Mendez</t>
  </si>
  <si>
    <t>Joe Borgus</t>
  </si>
  <si>
    <t>Orlando Gerena</t>
  </si>
  <si>
    <t>Tyler Bushui</t>
  </si>
  <si>
    <t>Sean Goings</t>
  </si>
  <si>
    <t>Scott Hetrick</t>
  </si>
  <si>
    <t>Carl Kalston</t>
  </si>
  <si>
    <t xml:space="preserve">Brandon </t>
  </si>
  <si>
    <t>Classification</t>
  </si>
  <si>
    <t>Project Superintendant</t>
  </si>
  <si>
    <t>Electrical Foreman</t>
  </si>
  <si>
    <t>Lineman</t>
  </si>
  <si>
    <t>Machine Operator</t>
  </si>
  <si>
    <t>Laborer</t>
  </si>
  <si>
    <t>Driver/Groundman</t>
  </si>
  <si>
    <t>Electrician</t>
  </si>
  <si>
    <t>Lineman/Foreman</t>
  </si>
  <si>
    <t>Mechanic</t>
  </si>
  <si>
    <t>Vehicles</t>
  </si>
  <si>
    <t>Highrail Bucket No. 50</t>
  </si>
  <si>
    <t>Highrail Bucket No. 221</t>
  </si>
  <si>
    <t>Highrail Bucket No. 130</t>
  </si>
  <si>
    <t>Highrail Bucket No. 131</t>
  </si>
  <si>
    <t>Highrail Bucket No. 195</t>
  </si>
  <si>
    <t>Platform Truck No. 62</t>
  </si>
  <si>
    <t>Box Truck 85</t>
  </si>
  <si>
    <t>Box Truck 45</t>
  </si>
  <si>
    <t>Rack Body 47</t>
  </si>
  <si>
    <t>Pick Up Kevin No. 9</t>
  </si>
  <si>
    <t>Highrail Knuckle Boom 172</t>
  </si>
  <si>
    <t>Highrail Crane 61</t>
  </si>
  <si>
    <t>20 Ton Equipment Trailer</t>
  </si>
  <si>
    <t>Mini Excavator 187 (Large)</t>
  </si>
  <si>
    <t>Mini Excavator 124 (Small Garden)</t>
  </si>
  <si>
    <t>Light Towers</t>
  </si>
  <si>
    <t>TSI wire tension Machine</t>
  </si>
  <si>
    <t>6K Lull</t>
  </si>
  <si>
    <t>12K Lull</t>
  </si>
  <si>
    <t>Cat 312 Excavator</t>
  </si>
  <si>
    <t>Compressor Trailer</t>
  </si>
  <si>
    <t>Highrail Mechanics Truck</t>
  </si>
  <si>
    <t>Highrail water truck</t>
  </si>
  <si>
    <t>Ho-Grill(John Deere 710)</t>
  </si>
  <si>
    <t>Large generator</t>
  </si>
  <si>
    <t>Small generator</t>
  </si>
  <si>
    <t>Bucket Truck Other</t>
  </si>
  <si>
    <t>Grove man lift</t>
  </si>
  <si>
    <t>Pick Up Truck 10</t>
  </si>
  <si>
    <t>Time AMR gave back power</t>
  </si>
  <si>
    <r>
      <t xml:space="preserve">Weather: </t>
    </r>
    <r>
      <rPr>
        <sz val="14"/>
        <color theme="1"/>
        <rFont val="Trebuchet MS"/>
        <family val="2"/>
        <scheme val="minor"/>
      </rPr>
      <t xml:space="preserve">  </t>
    </r>
  </si>
  <si>
    <t>Avg. Temperature during shift:</t>
  </si>
  <si>
    <r>
      <rPr>
        <sz val="12"/>
        <color theme="1"/>
        <rFont val="Trebuchet MS"/>
        <family val="2"/>
        <scheme val="minor"/>
      </rPr>
      <t xml:space="preserve">Verbal / Written </t>
    </r>
    <r>
      <rPr>
        <b/>
        <sz val="12"/>
        <color theme="1"/>
        <rFont val="Trebuchet MS"/>
        <family val="2"/>
        <scheme val="minor"/>
      </rPr>
      <t xml:space="preserve">  Explain below:</t>
    </r>
  </si>
  <si>
    <r>
      <rPr>
        <i/>
        <sz val="14"/>
        <color theme="1"/>
        <rFont val="Trebuchet MS"/>
        <family val="2"/>
        <scheme val="minor"/>
      </rPr>
      <t>Site #:</t>
    </r>
    <r>
      <rPr>
        <sz val="14"/>
        <color theme="1"/>
        <rFont val="Trebuchet MS"/>
        <family val="2"/>
        <scheme val="minor"/>
      </rPr>
      <t xml:space="preserve">  </t>
    </r>
    <r>
      <rPr>
        <b/>
        <sz val="12"/>
        <color theme="1"/>
        <rFont val="Trebuchet MS"/>
        <family val="2"/>
        <scheme val="minor"/>
      </rPr>
      <t/>
    </r>
  </si>
  <si>
    <r>
      <rPr>
        <i/>
        <sz val="14"/>
        <color theme="1"/>
        <rFont val="Trebuchet MS"/>
        <family val="2"/>
        <scheme val="minor"/>
      </rPr>
      <t>On track:</t>
    </r>
    <r>
      <rPr>
        <sz val="14"/>
        <color theme="1"/>
        <rFont val="Trebuchet MS"/>
        <family val="2"/>
        <scheme val="minor"/>
      </rPr>
      <t xml:space="preserve"> </t>
    </r>
    <r>
      <rPr>
        <b/>
        <sz val="14"/>
        <color theme="1"/>
        <rFont val="Trebuchet MS"/>
        <family val="2"/>
        <scheme val="minor"/>
      </rPr>
      <t xml:space="preserve"> </t>
    </r>
  </si>
  <si>
    <r>
      <rPr>
        <i/>
        <sz val="12"/>
        <color theme="1"/>
        <rFont val="Trebuchet MS"/>
        <family val="2"/>
        <scheme val="minor"/>
      </rPr>
      <t>Equipment located on Track:</t>
    </r>
    <r>
      <rPr>
        <sz val="12"/>
        <color theme="1"/>
        <rFont val="Trebuchet MS"/>
        <family val="2"/>
        <scheme val="minor"/>
      </rPr>
      <t xml:space="preserve">  </t>
    </r>
    <r>
      <rPr>
        <b/>
        <sz val="12"/>
        <color theme="1"/>
        <rFont val="Trebuchet MS"/>
        <family val="2"/>
        <scheme val="minor"/>
      </rPr>
      <t xml:space="preserve"> </t>
    </r>
  </si>
  <si>
    <r>
      <rPr>
        <i/>
        <sz val="14"/>
        <color theme="1"/>
        <rFont val="Trebuchet MS"/>
        <family val="2"/>
        <scheme val="minor"/>
      </rPr>
      <t xml:space="preserve">MNR support on site: </t>
    </r>
    <r>
      <rPr>
        <b/>
        <i/>
        <sz val="14"/>
        <color theme="1"/>
        <rFont val="Trebuchet MS"/>
        <family val="2"/>
        <scheme val="minor"/>
      </rPr>
      <t xml:space="preserve"> </t>
    </r>
  </si>
  <si>
    <t>none</t>
  </si>
  <si>
    <r>
      <t xml:space="preserve">Injury's or incidents on job today:  </t>
    </r>
    <r>
      <rPr>
        <sz val="14"/>
        <color theme="1"/>
        <rFont val="Trebuchet MS"/>
        <family val="2"/>
        <scheme val="minor"/>
      </rPr>
      <t xml:space="preserve"> </t>
    </r>
    <r>
      <rPr>
        <b/>
        <sz val="14"/>
        <color theme="1"/>
        <rFont val="Trebuchet MS"/>
        <family val="2"/>
        <scheme val="minor"/>
      </rPr>
      <t xml:space="preserve">                </t>
    </r>
  </si>
  <si>
    <t xml:space="preserve"> If yes explain below:</t>
  </si>
  <si>
    <t>Notes:</t>
  </si>
  <si>
    <t>Work Zone cat. ID. #1</t>
  </si>
  <si>
    <t>Track access location #2</t>
  </si>
  <si>
    <t>Work Zone cat ID. #2</t>
  </si>
  <si>
    <t>Structure # Start</t>
  </si>
  <si>
    <t>Structure # End</t>
  </si>
  <si>
    <t>Time AMR Crew Arrived</t>
  </si>
  <si>
    <t>CHECKED BY:</t>
  </si>
  <si>
    <t>DATE:</t>
  </si>
  <si>
    <r>
      <t>CON-9</t>
    </r>
    <r>
      <rPr>
        <sz val="14"/>
        <color indexed="8"/>
        <rFont val="Arial Rounded MT Bold"/>
        <family val="2"/>
      </rPr>
      <t xml:space="preserve"> Rev 6/08</t>
    </r>
  </si>
  <si>
    <t>DATE OF WORK:</t>
  </si>
  <si>
    <t>REPORT NO.</t>
  </si>
  <si>
    <t>(302-06-0169)</t>
  </si>
  <si>
    <t>STATE OF CONNECTICUT</t>
  </si>
  <si>
    <t>DEPARTMENT OF TRANSPORTATION</t>
  </si>
  <si>
    <t>FEDERAL AID NO:</t>
  </si>
  <si>
    <t>PROJECT NO.</t>
  </si>
  <si>
    <t>CONTRACTOR PERFORMING WORK:</t>
  </si>
  <si>
    <t>BUREAU OF ENGINEERING AND CONSTRUCTION</t>
  </si>
  <si>
    <t>CT-05-105-CT-90-X507</t>
  </si>
  <si>
    <t>0301-0072</t>
  </si>
  <si>
    <t>AM RIZZO</t>
  </si>
  <si>
    <t>DAILY REPORT OF COST PLUS</t>
  </si>
  <si>
    <t>DESCRIPTION OF WORK:</t>
  </si>
  <si>
    <t>CONSTRUCTION ORDER</t>
  </si>
  <si>
    <t xml:space="preserve">  </t>
  </si>
  <si>
    <t>ITEM NO.</t>
  </si>
  <si>
    <t>LABOR</t>
  </si>
  <si>
    <t>MATERIAL</t>
  </si>
  <si>
    <t>EQUIPMENT</t>
  </si>
  <si>
    <t>Class</t>
  </si>
  <si>
    <t>No.</t>
  </si>
  <si>
    <t>Total Hours</t>
  </si>
  <si>
    <t>Rate</t>
  </si>
  <si>
    <t>Amount</t>
  </si>
  <si>
    <t>Description</t>
  </si>
  <si>
    <t>Quantity</t>
  </si>
  <si>
    <t>Unit Price</t>
  </si>
  <si>
    <t>Size and Class</t>
  </si>
  <si>
    <t>Idle (I) or Active (A)</t>
  </si>
  <si>
    <t xml:space="preserve"> Amount</t>
  </si>
  <si>
    <t xml:space="preserve"> Total Labor</t>
  </si>
  <si>
    <t>Health</t>
  </si>
  <si>
    <t>Welfare</t>
  </si>
  <si>
    <t>and</t>
  </si>
  <si>
    <t>Pension</t>
  </si>
  <si>
    <t>Less Discounts</t>
  </si>
  <si>
    <t xml:space="preserve"> Ins. and Taxes on Item 1</t>
  </si>
  <si>
    <t xml:space="preserve"> 20% of (Items 1 + 2 + 3)</t>
  </si>
  <si>
    <t>Additional %     =</t>
  </si>
  <si>
    <t>%</t>
  </si>
  <si>
    <t xml:space="preserve"> Total (Items 1 thru 4)</t>
  </si>
  <si>
    <t>Inspector:</t>
  </si>
  <si>
    <t>Contractor's Representative:                                      Date:</t>
  </si>
  <si>
    <t xml:space="preserve">Daily Total </t>
  </si>
  <si>
    <t>Total to Date</t>
  </si>
  <si>
    <t xml:space="preserve">     ConnDOT</t>
  </si>
  <si>
    <t>ORIGINAL TO PROJECT RECORDS.   COPIES TO CONTRACTOR AND DISTRICT FILE.</t>
  </si>
  <si>
    <t>Structure # Start:</t>
  </si>
  <si>
    <t>AMR request power outage in advance</t>
  </si>
  <si>
    <t>AMR Ground out any power</t>
  </si>
  <si>
    <t>Did AMR Highrail equipment pass thru any on tracks switches</t>
  </si>
  <si>
    <t>MNR Support Site</t>
  </si>
  <si>
    <t>What time did AMR crew leave MNR property</t>
  </si>
  <si>
    <t>Conn-9 Performed</t>
  </si>
  <si>
    <t>sss</t>
  </si>
  <si>
    <t>sssss</t>
  </si>
  <si>
    <t>dddd</t>
  </si>
  <si>
    <t>Yes</t>
  </si>
  <si>
    <t>Flagmen</t>
  </si>
  <si>
    <t>12:000</t>
  </si>
  <si>
    <t>Wednesday</t>
  </si>
  <si>
    <t>Saturday</t>
  </si>
  <si>
    <t>Opportunity</t>
  </si>
  <si>
    <t xml:space="preserve">The current manager had a database where all forms were entered after a foreman completed. </t>
  </si>
  <si>
    <t>This database was used to analyze any materials, change orders or anything that had to do with a contract.</t>
  </si>
  <si>
    <t xml:space="preserve">There was too much data and it was cumbersome to search through when we needed to gather dates that had </t>
  </si>
  <si>
    <t xml:space="preserve">Some change order or situation required for additional forms to be completed. </t>
  </si>
  <si>
    <t>similar occurences. In addition foreman were coming in the office after the shift and spending an additional 2 hours in paperwork ( 4 foremans).</t>
  </si>
  <si>
    <t>Project</t>
  </si>
  <si>
    <t>created an electronic form that could be completed on their tablets along with a database. When a foreman completed a form and clicked on an event</t>
  </si>
  <si>
    <t xml:space="preserve">it would auto populate other forms. My goal was to eventually eliminate paper waste since most form could be electronically submitted to the state or governing body. </t>
  </si>
  <si>
    <t>Process</t>
  </si>
  <si>
    <t xml:space="preserve">Having a standardized form and names helped with data analysing and retrieval. </t>
  </si>
  <si>
    <t xml:space="preserve">The forms would be completed by foreman at their site. It is emailed to the site manager and office assitant. The form was placed on the share drive with permission for 4 at a time. </t>
  </si>
  <si>
    <t xml:space="preserve">A separate copy was kepted ( master ) with previous day information that was audited by office manager and checked by site manager. </t>
  </si>
  <si>
    <t>Result</t>
  </si>
  <si>
    <t xml:space="preserve">Saved 6 hours in form prep and sped up the analysing portion.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</si>
</sst>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44" formatCode="_(&quot;$&quot;* #,##0.00_);_(&quot;$&quot;* \(#,##0.00\);_(&quot;$&quot;* &quot;-&quot;??_);_(@_)"/>
    <numFmt numFmtId="164" formatCode="[$-409]h:mm\ AM/PM;@"/>
    <numFmt numFmtId="165" formatCode="h:mm;@"/>
    <numFmt numFmtId="166" formatCode="mm/dd/yy"/>
    <numFmt numFmtId="167" formatCode="0.0"/>
  </numFmts>
  <fonts count="56" x14ac:knownFonts="1">
    <font>
      <sz val="10"/>
      <name val="Arial"/>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8"/>
      <name val="Arial"/>
      <family val="2"/>
    </font>
    <font>
      <sz val="10"/>
      <name val="Arial"/>
      <family val="2"/>
    </font>
    <font>
      <b/>
      <sz val="12"/>
      <name val="Arial"/>
      <family val="2"/>
    </font>
    <font>
      <b/>
      <sz val="11"/>
      <color theme="1"/>
      <name val="Trebuchet MS"/>
      <family val="2"/>
      <scheme val="minor"/>
    </font>
    <font>
      <b/>
      <i/>
      <sz val="11"/>
      <color theme="1"/>
      <name val="Trebuchet MS"/>
      <family val="2"/>
      <scheme val="minor"/>
    </font>
    <font>
      <b/>
      <i/>
      <sz val="24"/>
      <color theme="1"/>
      <name val="Trebuchet MS"/>
      <family val="2"/>
      <scheme val="minor"/>
    </font>
    <font>
      <i/>
      <sz val="14"/>
      <color theme="1"/>
      <name val="Trebuchet MS"/>
      <family val="2"/>
      <scheme val="minor"/>
    </font>
    <font>
      <sz val="14"/>
      <color theme="1"/>
      <name val="Trebuchet MS"/>
      <family val="2"/>
      <scheme val="minor"/>
    </font>
    <font>
      <b/>
      <sz val="12"/>
      <color theme="1"/>
      <name val="Trebuchet MS"/>
      <family val="2"/>
      <scheme val="minor"/>
    </font>
    <font>
      <b/>
      <sz val="14"/>
      <color theme="1"/>
      <name val="Trebuchet MS"/>
      <family val="2"/>
      <scheme val="minor"/>
    </font>
    <font>
      <sz val="12"/>
      <color theme="1"/>
      <name val="Trebuchet MS"/>
      <family val="2"/>
      <scheme val="minor"/>
    </font>
    <font>
      <i/>
      <sz val="12"/>
      <color theme="1"/>
      <name val="Trebuchet MS"/>
      <family val="2"/>
      <scheme val="minor"/>
    </font>
    <font>
      <i/>
      <sz val="11"/>
      <color theme="1"/>
      <name val="Trebuchet MS"/>
      <family val="2"/>
      <scheme val="minor"/>
    </font>
    <font>
      <b/>
      <i/>
      <sz val="14"/>
      <color theme="1"/>
      <name val="Trebuchet MS"/>
      <family val="2"/>
      <scheme val="minor"/>
    </font>
    <font>
      <b/>
      <i/>
      <sz val="18"/>
      <color theme="1"/>
      <name val="Trebuchet MS"/>
      <family val="2"/>
      <scheme val="minor"/>
    </font>
    <font>
      <b/>
      <i/>
      <sz val="20"/>
      <color theme="1"/>
      <name val="Trebuchet MS"/>
      <family val="2"/>
      <scheme val="minor"/>
    </font>
    <font>
      <u/>
      <sz val="11"/>
      <color theme="1"/>
      <name val="Trebuchet MS"/>
      <family val="2"/>
      <scheme val="minor"/>
    </font>
    <font>
      <b/>
      <i/>
      <sz val="8"/>
      <color theme="1"/>
      <name val="Trebuchet MS"/>
      <family val="2"/>
      <scheme val="minor"/>
    </font>
    <font>
      <b/>
      <sz val="10"/>
      <color theme="1"/>
      <name val="Trebuchet MS"/>
      <family val="2"/>
      <scheme val="minor"/>
    </font>
    <font>
      <sz val="9"/>
      <color theme="1"/>
      <name val="Trebuchet MS"/>
      <family val="2"/>
      <scheme val="minor"/>
    </font>
    <font>
      <sz val="12"/>
      <name val="Arial"/>
      <family val="2"/>
    </font>
    <font>
      <sz val="12"/>
      <name val="Arial"/>
      <family val="2"/>
    </font>
    <font>
      <sz val="14"/>
      <color indexed="8"/>
      <name val="Arial Rounded MT Bold"/>
      <family val="2"/>
    </font>
    <font>
      <b/>
      <sz val="14"/>
      <color indexed="8"/>
      <name val="Arial Rounded MT Bold"/>
      <family val="2"/>
    </font>
    <font>
      <sz val="14"/>
      <color indexed="8"/>
      <name val="Arial Rounded MT Bold"/>
      <family val="2"/>
    </font>
    <font>
      <sz val="14"/>
      <color theme="3" tint="0.39997558519241921"/>
      <name val="Arial Rounded MT Bold"/>
      <family val="2"/>
    </font>
    <font>
      <sz val="12"/>
      <color indexed="8"/>
      <name val="Arial Rounded MT Bold"/>
      <family val="2"/>
    </font>
    <font>
      <sz val="12"/>
      <color theme="3" tint="0.39997558519241921"/>
      <name val="Arial"/>
      <family val="2"/>
    </font>
    <font>
      <b/>
      <sz val="24"/>
      <color indexed="8"/>
      <name val="Arial Rounded MT Bold"/>
      <family val="2"/>
    </font>
    <font>
      <sz val="13"/>
      <color indexed="8"/>
      <name val="Arial Rounded MT Bold"/>
      <family val="2"/>
    </font>
    <font>
      <sz val="10"/>
      <color indexed="10"/>
      <name val="Arial Rounded MT Bold"/>
      <family val="2"/>
    </font>
    <font>
      <b/>
      <sz val="18"/>
      <color indexed="8"/>
      <name val="Arial Rounded MT Bold"/>
      <family val="2"/>
    </font>
    <font>
      <b/>
      <u/>
      <sz val="14"/>
      <color indexed="8"/>
      <name val="Arial Rounded MT Bold"/>
      <family val="2"/>
    </font>
    <font>
      <sz val="8"/>
      <color rgb="FF000000"/>
      <name val="Tahoma"/>
      <family val="2"/>
    </font>
    <font>
      <b/>
      <sz val="10"/>
      <name val="Arial"/>
      <family val="2"/>
    </font>
  </fonts>
  <fills count="5">
    <fill>
      <patternFill patternType="none"/>
    </fill>
    <fill>
      <patternFill patternType="gray125"/>
    </fill>
    <fill>
      <patternFill patternType="solid">
        <fgColor theme="0" tint="-0.499984740745262"/>
        <bgColor indexed="64"/>
      </patternFill>
    </fill>
    <fill>
      <patternFill patternType="solid">
        <fgColor rgb="FFFFFF00"/>
        <bgColor indexed="64"/>
      </patternFill>
    </fill>
    <fill>
      <patternFill patternType="solid">
        <fgColor indexed="9"/>
      </patternFill>
    </fill>
  </fills>
  <borders count="79">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ck">
        <color indexed="8"/>
      </left>
      <right/>
      <top style="thick">
        <color indexed="8"/>
      </top>
      <bottom/>
      <diagonal/>
    </border>
    <border>
      <left/>
      <right/>
      <top style="thick">
        <color indexed="8"/>
      </top>
      <bottom/>
      <diagonal/>
    </border>
    <border>
      <left/>
      <right style="thin">
        <color indexed="8"/>
      </right>
      <top style="thick">
        <color indexed="8"/>
      </top>
      <bottom/>
      <diagonal/>
    </border>
    <border>
      <left style="thin">
        <color indexed="8"/>
      </left>
      <right/>
      <top style="thick">
        <color indexed="8"/>
      </top>
      <bottom/>
      <diagonal/>
    </border>
    <border>
      <left/>
      <right style="thick">
        <color indexed="8"/>
      </right>
      <top style="thick">
        <color indexed="8"/>
      </top>
      <bottom/>
      <diagonal/>
    </border>
    <border>
      <left style="thick">
        <color indexed="8"/>
      </left>
      <right/>
      <top/>
      <bottom/>
      <diagonal/>
    </border>
    <border>
      <left/>
      <right style="thin">
        <color indexed="8"/>
      </right>
      <top/>
      <bottom/>
      <diagonal/>
    </border>
    <border>
      <left style="thin">
        <color indexed="8"/>
      </left>
      <right/>
      <top/>
      <bottom/>
      <diagonal/>
    </border>
    <border>
      <left/>
      <right style="thick">
        <color indexed="8"/>
      </right>
      <top/>
      <bottom/>
      <diagonal/>
    </border>
    <border>
      <left style="thin">
        <color indexed="8"/>
      </left>
      <right/>
      <top style="thin">
        <color indexed="8"/>
      </top>
      <bottom/>
      <diagonal/>
    </border>
    <border>
      <left/>
      <right/>
      <top style="thin">
        <color indexed="8"/>
      </top>
      <bottom/>
      <diagonal/>
    </border>
    <border>
      <left/>
      <right style="thick">
        <color indexed="8"/>
      </right>
      <top style="thin">
        <color indexed="8"/>
      </top>
      <bottom/>
      <diagonal/>
    </border>
    <border>
      <left style="thick">
        <color indexed="8"/>
      </left>
      <right/>
      <top style="thin">
        <color indexed="8"/>
      </top>
      <bottom/>
      <diagonal/>
    </border>
    <border>
      <left/>
      <right style="thin">
        <color indexed="8"/>
      </right>
      <top style="thin">
        <color indexed="8"/>
      </top>
      <bottom/>
      <diagonal/>
    </border>
    <border>
      <left style="thick">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right style="thick">
        <color indexed="8"/>
      </right>
      <top/>
      <bottom style="thin">
        <color indexed="8"/>
      </bottom>
      <diagonal/>
    </border>
    <border>
      <left/>
      <right/>
      <top/>
      <bottom style="thick">
        <color indexed="8"/>
      </bottom>
      <diagonal/>
    </border>
    <border>
      <left style="thick">
        <color indexed="8"/>
      </left>
      <right/>
      <top style="thick">
        <color indexed="8"/>
      </top>
      <bottom style="thick">
        <color indexed="8"/>
      </bottom>
      <diagonal/>
    </border>
    <border>
      <left/>
      <right/>
      <top style="thick">
        <color indexed="8"/>
      </top>
      <bottom style="thick">
        <color indexed="8"/>
      </bottom>
      <diagonal/>
    </border>
    <border>
      <left/>
      <right style="thick">
        <color indexed="8"/>
      </right>
      <top style="thick">
        <color indexed="8"/>
      </top>
      <bottom style="thick">
        <color indexed="8"/>
      </bottom>
      <diagonal/>
    </border>
    <border>
      <left style="thick">
        <color indexed="8"/>
      </left>
      <right/>
      <top/>
      <bottom style="thick">
        <color indexed="8"/>
      </bottom>
      <diagonal/>
    </border>
    <border>
      <left/>
      <right style="thin">
        <color indexed="8"/>
      </right>
      <top/>
      <bottom style="thick">
        <color indexed="8"/>
      </bottom>
      <diagonal/>
    </border>
    <border>
      <left/>
      <right style="thick">
        <color indexed="8"/>
      </right>
      <top/>
      <bottom style="thick">
        <color indexed="8"/>
      </bottom>
      <diagonal/>
    </border>
    <border>
      <left/>
      <right style="thin">
        <color indexed="8"/>
      </right>
      <top style="thick">
        <color indexed="8"/>
      </top>
      <bottom style="thick">
        <color indexed="8"/>
      </bottom>
      <diagonal/>
    </border>
    <border>
      <left style="thick">
        <color indexed="8"/>
      </left>
      <right style="thin">
        <color indexed="8"/>
      </right>
      <top/>
      <bottom style="thick">
        <color indexed="8"/>
      </bottom>
      <diagonal/>
    </border>
    <border>
      <left style="thin">
        <color indexed="8"/>
      </left>
      <right style="thin">
        <color indexed="8"/>
      </right>
      <top/>
      <bottom style="thick">
        <color indexed="8"/>
      </bottom>
      <diagonal/>
    </border>
    <border>
      <left style="thick">
        <color indexed="8"/>
      </left>
      <right/>
      <top style="thick">
        <color indexed="8"/>
      </top>
      <bottom style="thin">
        <color indexed="8"/>
      </bottom>
      <diagonal/>
    </border>
    <border>
      <left/>
      <right style="thin">
        <color indexed="8"/>
      </right>
      <top style="thick">
        <color indexed="8"/>
      </top>
      <bottom style="thin">
        <color indexed="8"/>
      </bottom>
      <diagonal/>
    </border>
    <border>
      <left/>
      <right style="thin">
        <color indexed="8"/>
      </right>
      <top style="thin">
        <color indexed="8"/>
      </top>
      <bottom style="thin">
        <color indexed="8"/>
      </bottom>
      <diagonal/>
    </border>
    <border>
      <left/>
      <right style="thick">
        <color indexed="8"/>
      </right>
      <top style="thin">
        <color indexed="8"/>
      </top>
      <bottom style="thin">
        <color indexed="8"/>
      </bottom>
      <diagonal/>
    </border>
    <border>
      <left style="thick">
        <color indexed="8"/>
      </left>
      <right style="thin">
        <color indexed="8"/>
      </right>
      <top style="thick">
        <color indexed="8"/>
      </top>
      <bottom style="thin">
        <color indexed="8"/>
      </bottom>
      <diagonal/>
    </border>
    <border>
      <left style="thin">
        <color indexed="8"/>
      </left>
      <right style="thin">
        <color indexed="8"/>
      </right>
      <top style="thick">
        <color indexed="8"/>
      </top>
      <bottom style="thin">
        <color indexed="8"/>
      </bottom>
      <diagonal/>
    </border>
    <border>
      <left style="thick">
        <color indexed="8"/>
      </left>
      <right/>
      <top style="thin">
        <color indexed="8"/>
      </top>
      <bottom style="thin">
        <color indexed="8"/>
      </bottom>
      <diagonal/>
    </border>
    <border>
      <left style="thick">
        <color indexed="8"/>
      </left>
      <right style="thin">
        <color indexed="8"/>
      </right>
      <top/>
      <bottom style="thin">
        <color indexed="8"/>
      </bottom>
      <diagonal/>
    </border>
    <border>
      <left style="thin">
        <color indexed="8"/>
      </left>
      <right style="thin">
        <color indexed="8"/>
      </right>
      <top/>
      <bottom style="thin">
        <color indexed="8"/>
      </bottom>
      <diagonal/>
    </border>
    <border>
      <left style="thick">
        <color indexed="8"/>
      </left>
      <right/>
      <top style="thin">
        <color indexed="8"/>
      </top>
      <bottom style="thick">
        <color indexed="8"/>
      </bottom>
      <diagonal/>
    </border>
    <border>
      <left/>
      <right style="thin">
        <color indexed="8"/>
      </right>
      <top style="thin">
        <color indexed="8"/>
      </top>
      <bottom style="thick">
        <color indexed="8"/>
      </bottom>
      <diagonal/>
    </border>
    <border>
      <left style="thick">
        <color indexed="8"/>
      </left>
      <right style="thin">
        <color indexed="8"/>
      </right>
      <top style="thin">
        <color indexed="8"/>
      </top>
      <bottom/>
      <diagonal/>
    </border>
    <border>
      <left/>
      <right style="thick">
        <color indexed="8"/>
      </right>
      <top style="thick">
        <color indexed="8"/>
      </top>
      <bottom style="thin">
        <color indexed="8"/>
      </bottom>
      <diagonal/>
    </border>
    <border>
      <left style="thick">
        <color indexed="8"/>
      </left>
      <right style="thin">
        <color indexed="8"/>
      </right>
      <top/>
      <bottom/>
      <diagonal/>
    </border>
    <border>
      <left/>
      <right/>
      <top style="thin">
        <color indexed="8"/>
      </top>
      <bottom style="thick">
        <color indexed="8"/>
      </bottom>
      <diagonal/>
    </border>
    <border>
      <left/>
      <right style="thick">
        <color indexed="8"/>
      </right>
      <top style="thin">
        <color indexed="8"/>
      </top>
      <bottom style="thick">
        <color indexed="8"/>
      </bottom>
      <diagonal/>
    </border>
    <border>
      <left/>
      <right/>
      <top style="thin">
        <color indexed="8"/>
      </top>
      <bottom style="thin">
        <color indexed="8"/>
      </bottom>
      <diagonal/>
    </border>
    <border>
      <left style="thick">
        <color indexed="8"/>
      </left>
      <right style="thin">
        <color indexed="8"/>
      </right>
      <top style="thin">
        <color indexed="8"/>
      </top>
      <bottom style="thick">
        <color indexed="8"/>
      </bottom>
      <diagonal/>
    </border>
    <border>
      <left style="thick">
        <color indexed="8"/>
      </left>
      <right style="thick">
        <color indexed="8"/>
      </right>
      <top style="thick">
        <color indexed="8"/>
      </top>
      <bottom style="thick">
        <color indexed="8"/>
      </bottom>
      <diagonal/>
    </border>
    <border>
      <left style="thin">
        <color indexed="64"/>
      </left>
      <right/>
      <top style="medium">
        <color indexed="64"/>
      </top>
      <bottom style="medium">
        <color indexed="64"/>
      </bottom>
      <diagonal/>
    </border>
  </borders>
  <cellStyleXfs count="52">
    <xf numFmtId="0" fontId="0" fillId="0" borderId="0"/>
    <xf numFmtId="0" fontId="20" fillId="0" borderId="0"/>
    <xf numFmtId="44" fontId="20" fillId="0" borderId="0" applyFont="0" applyFill="0" applyBorder="0" applyAlignment="0" applyProtection="0"/>
    <xf numFmtId="0" fontId="19" fillId="0" borderId="0"/>
    <xf numFmtId="0" fontId="22" fillId="0" borderId="0"/>
    <xf numFmtId="0" fontId="19" fillId="0" borderId="0"/>
    <xf numFmtId="44" fontId="19" fillId="0" borderId="0" applyFont="0" applyFill="0" applyBorder="0" applyAlignment="0" applyProtection="0"/>
    <xf numFmtId="0" fontId="18" fillId="0" borderId="0"/>
    <xf numFmtId="0" fontId="17" fillId="0" borderId="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2" fillId="0" borderId="0"/>
    <xf numFmtId="0" fontId="1" fillId="0" borderId="0"/>
    <xf numFmtId="0" fontId="42" fillId="4" borderId="0"/>
  </cellStyleXfs>
  <cellXfs count="379">
    <xf numFmtId="0" fontId="0" fillId="0" borderId="0" xfId="0"/>
    <xf numFmtId="0" fontId="22" fillId="2" borderId="0" xfId="0" applyFont="1" applyFill="1" applyProtection="1"/>
    <xf numFmtId="0" fontId="24" fillId="0" borderId="29" xfId="0" applyFont="1" applyBorder="1" applyAlignment="1">
      <alignment horizontal="center" vertical="center"/>
    </xf>
    <xf numFmtId="165" fontId="24" fillId="0" borderId="29" xfId="0" applyNumberFormat="1" applyFont="1" applyBorder="1" applyAlignment="1">
      <alignment horizontal="center" vertical="center"/>
    </xf>
    <xf numFmtId="1" fontId="24" fillId="0" borderId="29" xfId="0" applyNumberFormat="1" applyFont="1" applyBorder="1" applyAlignment="1">
      <alignment horizontal="center" vertical="center"/>
    </xf>
    <xf numFmtId="0" fontId="24" fillId="0" borderId="29" xfId="0" applyFont="1" applyBorder="1" applyAlignment="1">
      <alignment horizontal="center" vertical="center" wrapText="1"/>
    </xf>
    <xf numFmtId="165" fontId="24" fillId="0" borderId="29" xfId="0" applyNumberFormat="1" applyFont="1" applyBorder="1" applyAlignment="1">
      <alignment horizontal="center" vertical="center" wrapText="1"/>
    </xf>
    <xf numFmtId="0" fontId="0" fillId="0" borderId="25" xfId="0" applyBorder="1" applyAlignment="1">
      <alignment horizontal="center"/>
    </xf>
    <xf numFmtId="0" fontId="0" fillId="0" borderId="1" xfId="0" applyBorder="1" applyAlignment="1">
      <alignment horizontal="center"/>
    </xf>
    <xf numFmtId="14" fontId="24" fillId="0" borderId="29" xfId="0" applyNumberFormat="1" applyFont="1" applyBorder="1" applyAlignment="1">
      <alignment horizontal="center" vertical="center"/>
    </xf>
    <xf numFmtId="14" fontId="24" fillId="0" borderId="29" xfId="0" applyNumberFormat="1" applyFont="1" applyBorder="1" applyAlignment="1">
      <alignment horizontal="center" vertical="center" wrapText="1"/>
    </xf>
    <xf numFmtId="0" fontId="23" fillId="0" borderId="0" xfId="0" applyNumberFormat="1" applyFont="1" applyAlignment="1">
      <alignment horizontal="center" vertical="center"/>
    </xf>
    <xf numFmtId="0" fontId="0" fillId="0" borderId="0" xfId="0" applyNumberFormat="1"/>
    <xf numFmtId="0" fontId="41" fillId="0" borderId="0" xfId="0" applyNumberFormat="1" applyFont="1"/>
    <xf numFmtId="0" fontId="30" fillId="0" borderId="16" xfId="50" applyFont="1" applyBorder="1" applyAlignment="1" applyProtection="1">
      <alignment horizontal="center" vertical="center"/>
      <protection locked="0"/>
    </xf>
    <xf numFmtId="1" fontId="24" fillId="0" borderId="29" xfId="0" applyNumberFormat="1" applyFont="1" applyBorder="1" applyAlignment="1">
      <alignment horizontal="center" vertical="center" wrapText="1"/>
    </xf>
    <xf numFmtId="164" fontId="24" fillId="0" borderId="29" xfId="0" applyNumberFormat="1" applyFont="1" applyBorder="1" applyAlignment="1">
      <alignment horizontal="center" vertical="center" wrapText="1"/>
    </xf>
    <xf numFmtId="0" fontId="24" fillId="0" borderId="0" xfId="0" applyFont="1" applyBorder="1" applyAlignment="1">
      <alignment horizontal="left" vertical="top" wrapText="1"/>
    </xf>
    <xf numFmtId="0" fontId="43" fillId="4" borderId="30" xfId="51" applyNumberFormat="1" applyFont="1" applyBorder="1" applyAlignment="1" applyProtection="1">
      <alignment horizontal="centerContinuous"/>
      <protection hidden="1"/>
    </xf>
    <xf numFmtId="0" fontId="43" fillId="4" borderId="31" xfId="51" applyNumberFormat="1" applyFont="1" applyBorder="1" applyAlignment="1" applyProtection="1">
      <alignment horizontal="left"/>
      <protection locked="0" hidden="1"/>
    </xf>
    <xf numFmtId="0" fontId="43" fillId="4" borderId="31" xfId="51" applyNumberFormat="1" applyFont="1" applyBorder="1" applyAlignment="1" applyProtection="1">
      <alignment horizontal="centerContinuous"/>
      <protection hidden="1"/>
    </xf>
    <xf numFmtId="0" fontId="43" fillId="4" borderId="31" xfId="51" applyNumberFormat="1" applyFont="1" applyBorder="1" applyAlignment="1">
      <alignment horizontal="centerContinuous"/>
    </xf>
    <xf numFmtId="0" fontId="43" fillId="4" borderId="31" xfId="51" applyNumberFormat="1" applyFont="1" applyBorder="1" applyAlignment="1">
      <alignment horizontal="left"/>
    </xf>
    <xf numFmtId="0" fontId="43" fillId="4" borderId="32" xfId="51" applyNumberFormat="1" applyFont="1" applyBorder="1" applyAlignment="1">
      <alignment horizontal="centerContinuous"/>
    </xf>
    <xf numFmtId="0" fontId="44" fillId="4" borderId="31" xfId="51" applyNumberFormat="1" applyFont="1" applyBorder="1" applyAlignment="1">
      <alignment horizontal="centerContinuous"/>
    </xf>
    <xf numFmtId="0" fontId="43" fillId="4" borderId="33" xfId="51" applyNumberFormat="1" applyFont="1" applyBorder="1"/>
    <xf numFmtId="0" fontId="43" fillId="4" borderId="31" xfId="51" applyNumberFormat="1" applyFont="1" applyBorder="1"/>
    <xf numFmtId="0" fontId="43" fillId="4" borderId="34" xfId="51" applyNumberFormat="1" applyFont="1" applyBorder="1"/>
    <xf numFmtId="0" fontId="42" fillId="4" borderId="0" xfId="51" applyNumberFormat="1"/>
    <xf numFmtId="0" fontId="43" fillId="4" borderId="35" xfId="51" applyNumberFormat="1" applyFont="1" applyBorder="1" applyAlignment="1">
      <alignment horizontal="center"/>
    </xf>
    <xf numFmtId="0" fontId="43" fillId="4" borderId="0" xfId="51" applyNumberFormat="1" applyFont="1" applyFill="1" applyAlignment="1" applyProtection="1">
      <alignment horizontal="right"/>
      <protection locked="0"/>
    </xf>
    <xf numFmtId="0" fontId="43" fillId="4" borderId="0" xfId="51" applyNumberFormat="1" applyFont="1" applyFill="1" applyProtection="1">
      <protection locked="0"/>
    </xf>
    <xf numFmtId="166" fontId="43" fillId="4" borderId="0" xfId="51" applyNumberFormat="1" applyFont="1" applyFill="1" applyProtection="1">
      <protection locked="0"/>
    </xf>
    <xf numFmtId="0" fontId="43" fillId="4" borderId="36" xfId="51" applyNumberFormat="1" applyFont="1" applyBorder="1"/>
    <xf numFmtId="0" fontId="45" fillId="4" borderId="0" xfId="51" applyNumberFormat="1" applyFont="1" applyAlignment="1">
      <alignment horizontal="centerContinuous"/>
    </xf>
    <xf numFmtId="0" fontId="44" fillId="4" borderId="0" xfId="51" applyNumberFormat="1" applyFont="1" applyAlignment="1">
      <alignment horizontal="centerContinuous"/>
    </xf>
    <xf numFmtId="0" fontId="43" fillId="4" borderId="0" xfId="51" applyNumberFormat="1" applyFont="1" applyAlignment="1">
      <alignment horizontal="centerContinuous"/>
    </xf>
    <xf numFmtId="14" fontId="43" fillId="4" borderId="37" xfId="51" applyNumberFormat="1" applyFont="1" applyBorder="1" applyProtection="1">
      <protection locked="0"/>
    </xf>
    <xf numFmtId="0" fontId="43" fillId="4" borderId="0" xfId="51" applyNumberFormat="1" applyFont="1"/>
    <xf numFmtId="0" fontId="43" fillId="4" borderId="37" xfId="51" applyNumberFormat="1" applyFont="1" applyBorder="1"/>
    <xf numFmtId="0" fontId="43" fillId="4" borderId="38" xfId="51" applyNumberFormat="1" applyFont="1" applyBorder="1"/>
    <xf numFmtId="0" fontId="43" fillId="4" borderId="39" xfId="51" applyNumberFormat="1" applyFont="1" applyBorder="1"/>
    <xf numFmtId="0" fontId="43" fillId="4" borderId="40" xfId="51" applyNumberFormat="1" applyFont="1" applyBorder="1"/>
    <xf numFmtId="0" fontId="43" fillId="4" borderId="41" xfId="51" applyNumberFormat="1" applyFont="1" applyBorder="1"/>
    <xf numFmtId="0" fontId="43" fillId="4" borderId="42" xfId="51" applyNumberFormat="1" applyFont="1" applyBorder="1" applyAlignment="1">
      <alignment horizontal="center"/>
    </xf>
    <xf numFmtId="0" fontId="43" fillId="4" borderId="43" xfId="51" applyNumberFormat="1" applyFont="1" applyBorder="1"/>
    <xf numFmtId="0" fontId="47" fillId="4" borderId="35" xfId="51" applyNumberFormat="1" applyFont="1" applyBorder="1" applyAlignment="1">
      <alignment horizontal="center"/>
    </xf>
    <xf numFmtId="0" fontId="47" fillId="4" borderId="36" xfId="51" applyNumberFormat="1" applyFont="1" applyBorder="1" applyAlignment="1">
      <alignment horizontal="centerContinuous"/>
    </xf>
    <xf numFmtId="0" fontId="49" fillId="4" borderId="0" xfId="51" applyNumberFormat="1" applyFont="1" applyAlignment="1">
      <alignment horizontal="centerContinuous" vertical="center"/>
    </xf>
    <xf numFmtId="0" fontId="47" fillId="4" borderId="0" xfId="51" applyNumberFormat="1" applyFont="1" applyAlignment="1">
      <alignment horizontal="centerContinuous" vertical="center"/>
    </xf>
    <xf numFmtId="0" fontId="47" fillId="4" borderId="0" xfId="51" applyNumberFormat="1" applyFont="1" applyAlignment="1">
      <alignment horizontal="centerContinuous"/>
    </xf>
    <xf numFmtId="0" fontId="47" fillId="4" borderId="44" xfId="51" applyNumberFormat="1" applyFont="1" applyBorder="1" applyAlignment="1">
      <alignment horizontal="center"/>
    </xf>
    <xf numFmtId="0" fontId="47" fillId="4" borderId="45" xfId="51" applyNumberFormat="1" applyFont="1" applyBorder="1"/>
    <xf numFmtId="0" fontId="47" fillId="4" borderId="46" xfId="51" applyNumberFormat="1" applyFont="1" applyBorder="1"/>
    <xf numFmtId="0" fontId="47" fillId="4" borderId="45" xfId="51" applyNumberFormat="1" applyFont="1" applyBorder="1" applyAlignment="1">
      <alignment horizontal="centerContinuous" vertical="center"/>
    </xf>
    <xf numFmtId="0" fontId="47" fillId="4" borderId="45" xfId="51" applyNumberFormat="1" applyFont="1" applyBorder="1" applyAlignment="1">
      <alignment horizontal="centerContinuous"/>
    </xf>
    <xf numFmtId="0" fontId="47" fillId="4" borderId="47" xfId="51" applyNumberFormat="1" applyFont="1" applyBorder="1"/>
    <xf numFmtId="0" fontId="47" fillId="4" borderId="48" xfId="51" applyNumberFormat="1" applyFont="1" applyBorder="1"/>
    <xf numFmtId="0" fontId="50" fillId="4" borderId="0" xfId="51" applyNumberFormat="1" applyFont="1" applyAlignment="1" applyProtection="1">
      <alignment horizontal="right"/>
      <protection locked="0"/>
    </xf>
    <xf numFmtId="0" fontId="43" fillId="4" borderId="0" xfId="51" applyNumberFormat="1" applyFont="1" applyAlignment="1" applyProtection="1">
      <alignment horizontal="left"/>
      <protection locked="0"/>
    </xf>
    <xf numFmtId="0" fontId="43" fillId="4" borderId="0" xfId="51" applyNumberFormat="1" applyFont="1" applyProtection="1">
      <protection locked="0"/>
    </xf>
    <xf numFmtId="0" fontId="51" fillId="4" borderId="0" xfId="51" applyNumberFormat="1" applyFont="1" applyProtection="1">
      <protection hidden="1"/>
    </xf>
    <xf numFmtId="0" fontId="52" fillId="4" borderId="50" xfId="51" applyNumberFormat="1" applyFont="1" applyBorder="1" applyAlignment="1">
      <alignment horizontal="centerContinuous" vertical="center" wrapText="1"/>
    </xf>
    <xf numFmtId="0" fontId="52" fillId="4" borderId="51" xfId="51" applyNumberFormat="1" applyFont="1" applyBorder="1" applyAlignment="1">
      <alignment horizontal="centerContinuous" vertical="center" wrapText="1"/>
    </xf>
    <xf numFmtId="0" fontId="52" fillId="4" borderId="52" xfId="51" applyNumberFormat="1" applyFont="1" applyBorder="1" applyAlignment="1">
      <alignment horizontal="centerContinuous" vertical="center" wrapText="1"/>
    </xf>
    <xf numFmtId="0" fontId="52" fillId="4" borderId="33" xfId="51" applyNumberFormat="1" applyFont="1" applyBorder="1" applyAlignment="1">
      <alignment horizontal="center" vertical="center" wrapText="1"/>
    </xf>
    <xf numFmtId="0" fontId="52" fillId="4" borderId="30" xfId="51" applyNumberFormat="1" applyFont="1" applyBorder="1" applyAlignment="1">
      <alignment horizontal="centerContinuous" vertical="center" wrapText="1"/>
    </xf>
    <xf numFmtId="0" fontId="52" fillId="4" borderId="31" xfId="51" applyNumberFormat="1" applyFont="1" applyBorder="1" applyAlignment="1">
      <alignment horizontal="centerContinuous" vertical="center" wrapText="1"/>
    </xf>
    <xf numFmtId="0" fontId="52" fillId="4" borderId="30" xfId="51" applyNumberFormat="1" applyFont="1" applyBorder="1" applyAlignment="1">
      <alignment vertical="center" wrapText="1"/>
    </xf>
    <xf numFmtId="0" fontId="44" fillId="4" borderId="53" xfId="51" applyNumberFormat="1" applyFont="1" applyBorder="1" applyAlignment="1">
      <alignment horizontal="centerContinuous" vertical="center" wrapText="1"/>
    </xf>
    <xf numFmtId="0" fontId="44" fillId="4" borderId="54" xfId="51" applyNumberFormat="1" applyFont="1" applyBorder="1" applyAlignment="1">
      <alignment horizontal="centerContinuous" vertical="center" wrapText="1"/>
    </xf>
    <xf numFmtId="0" fontId="44" fillId="4" borderId="54" xfId="51" applyNumberFormat="1" applyFont="1" applyBorder="1" applyAlignment="1">
      <alignment horizontal="center" vertical="center" wrapText="1"/>
    </xf>
    <xf numFmtId="0" fontId="44" fillId="4" borderId="55" xfId="51" applyNumberFormat="1" applyFont="1" applyBorder="1" applyAlignment="1">
      <alignment horizontal="center" vertical="center" wrapText="1"/>
    </xf>
    <xf numFmtId="0" fontId="44" fillId="4" borderId="37" xfId="51" applyNumberFormat="1" applyFont="1" applyBorder="1" applyAlignment="1">
      <alignment horizontal="center" vertical="center" wrapText="1"/>
    </xf>
    <xf numFmtId="0" fontId="44" fillId="4" borderId="50" xfId="51" applyNumberFormat="1" applyFont="1" applyBorder="1" applyAlignment="1">
      <alignment horizontal="center" vertical="center" wrapText="1"/>
    </xf>
    <xf numFmtId="0" fontId="44" fillId="4" borderId="56" xfId="51" applyNumberFormat="1" applyFont="1" applyBorder="1" applyAlignment="1">
      <alignment horizontal="center" vertical="center" wrapText="1"/>
    </xf>
    <xf numFmtId="0" fontId="44" fillId="4" borderId="52" xfId="51" applyNumberFormat="1" applyFont="1" applyBorder="1" applyAlignment="1">
      <alignment horizontal="center" vertical="center" wrapText="1"/>
    </xf>
    <xf numFmtId="0" fontId="44" fillId="4" borderId="57" xfId="51" applyNumberFormat="1" applyFont="1" applyBorder="1" applyAlignment="1">
      <alignment horizontal="center" vertical="center" wrapText="1"/>
    </xf>
    <xf numFmtId="0" fontId="47" fillId="4" borderId="58" xfId="51" applyNumberFormat="1" applyFont="1" applyBorder="1" applyAlignment="1">
      <alignment horizontal="center" vertical="center" wrapText="1"/>
    </xf>
    <xf numFmtId="0" fontId="43" fillId="4" borderId="61" xfId="51" applyNumberFormat="1" applyFont="1" applyBorder="1" applyProtection="1">
      <protection locked="0"/>
    </xf>
    <xf numFmtId="2" fontId="43" fillId="4" borderId="61" xfId="51" applyNumberFormat="1" applyFont="1" applyBorder="1" applyProtection="1">
      <protection locked="0"/>
    </xf>
    <xf numFmtId="2" fontId="43" fillId="4" borderId="62" xfId="51" applyNumberFormat="1" applyFont="1" applyBorder="1"/>
    <xf numFmtId="2" fontId="43" fillId="4" borderId="37" xfId="51" applyNumberFormat="1" applyFont="1" applyBorder="1"/>
    <xf numFmtId="2" fontId="43" fillId="4" borderId="46" xfId="51" applyNumberFormat="1" applyFont="1" applyBorder="1" applyProtection="1">
      <protection locked="0"/>
    </xf>
    <xf numFmtId="2" fontId="43" fillId="4" borderId="48" xfId="51" applyNumberFormat="1" applyFont="1" applyBorder="1"/>
    <xf numFmtId="0" fontId="43" fillId="4" borderId="63" xfId="51" quotePrefix="1" applyNumberFormat="1" applyFont="1" applyBorder="1" applyProtection="1">
      <protection locked="0"/>
    </xf>
    <xf numFmtId="0" fontId="43" fillId="4" borderId="64" xfId="51" applyNumberFormat="1" applyFont="1" applyBorder="1" applyAlignment="1" applyProtection="1">
      <alignment horizontal="center"/>
      <protection locked="0"/>
    </xf>
    <xf numFmtId="1" fontId="43" fillId="4" borderId="60" xfId="51" applyNumberFormat="1" applyFont="1" applyBorder="1" applyAlignment="1" applyProtection="1">
      <alignment horizontal="center"/>
      <protection locked="0"/>
    </xf>
    <xf numFmtId="2" fontId="43" fillId="4" borderId="60" xfId="51" applyNumberFormat="1" applyFont="1" applyBorder="1" applyProtection="1">
      <protection locked="0"/>
    </xf>
    <xf numFmtId="0" fontId="43" fillId="4" borderId="66" xfId="51" applyNumberFormat="1" applyFont="1" applyBorder="1" applyProtection="1">
      <protection locked="0"/>
    </xf>
    <xf numFmtId="0" fontId="43" fillId="4" borderId="67" xfId="51" applyNumberFormat="1" applyFont="1" applyBorder="1" applyAlignment="1" applyProtection="1">
      <alignment horizontal="center"/>
      <protection locked="0"/>
    </xf>
    <xf numFmtId="1" fontId="43" fillId="4" borderId="46" xfId="51" applyNumberFormat="1" applyFont="1" applyBorder="1" applyAlignment="1" applyProtection="1">
      <alignment horizontal="center"/>
      <protection locked="0"/>
    </xf>
    <xf numFmtId="0" fontId="43" fillId="4" borderId="54" xfId="51" applyNumberFormat="1" applyFont="1" applyBorder="1" applyProtection="1">
      <protection locked="0"/>
    </xf>
    <xf numFmtId="2" fontId="43" fillId="4" borderId="54" xfId="51" applyNumberFormat="1" applyFont="1" applyBorder="1" applyProtection="1">
      <protection locked="0"/>
    </xf>
    <xf numFmtId="0" fontId="43" fillId="4" borderId="70" xfId="51" applyNumberFormat="1" applyFont="1" applyBorder="1" applyAlignment="1">
      <alignment horizontal="right"/>
    </xf>
    <xf numFmtId="167" fontId="43" fillId="4" borderId="61" xfId="51" applyNumberFormat="1" applyFont="1" applyBorder="1" applyProtection="1">
      <protection locked="0"/>
    </xf>
    <xf numFmtId="2" fontId="43" fillId="4" borderId="71" xfId="51" applyNumberFormat="1" applyFont="1" applyBorder="1"/>
    <xf numFmtId="0" fontId="43" fillId="4" borderId="43" xfId="51" applyNumberFormat="1" applyFont="1" applyBorder="1" applyAlignment="1">
      <alignment horizontal="center"/>
    </xf>
    <xf numFmtId="0" fontId="43" fillId="4" borderId="72" xfId="51" applyNumberFormat="1" applyFont="1" applyBorder="1" applyAlignment="1">
      <alignment horizontal="right"/>
    </xf>
    <xf numFmtId="0" fontId="43" fillId="4" borderId="36" xfId="51" applyNumberFormat="1" applyFont="1" applyBorder="1" applyAlignment="1">
      <alignment horizontal="center"/>
    </xf>
    <xf numFmtId="0" fontId="43" fillId="4" borderId="46" xfId="51" applyNumberFormat="1" applyFont="1" applyBorder="1" applyProtection="1">
      <protection locked="0"/>
    </xf>
    <xf numFmtId="0" fontId="43" fillId="4" borderId="30" xfId="51" applyNumberFormat="1" applyFont="1" applyBorder="1"/>
    <xf numFmtId="0" fontId="43" fillId="4" borderId="32" xfId="51" applyNumberFormat="1" applyFont="1" applyBorder="1"/>
    <xf numFmtId="2" fontId="43" fillId="4" borderId="34" xfId="51" applyNumberFormat="1" applyFont="1" applyBorder="1"/>
    <xf numFmtId="0" fontId="43" fillId="4" borderId="66" xfId="51" applyNumberFormat="1" applyFont="1" applyBorder="1" applyAlignment="1">
      <alignment horizontal="right"/>
    </xf>
    <xf numFmtId="0" fontId="43" fillId="4" borderId="46" xfId="51" applyNumberFormat="1" applyFont="1" applyBorder="1"/>
    <xf numFmtId="0" fontId="43" fillId="4" borderId="68" xfId="51" applyNumberFormat="1" applyFont="1" applyBorder="1"/>
    <xf numFmtId="0" fontId="43" fillId="4" borderId="73" xfId="51" applyNumberFormat="1" applyFont="1" applyBorder="1"/>
    <xf numFmtId="0" fontId="43" fillId="4" borderId="73" xfId="51" applyNumberFormat="1" applyFont="1" applyBorder="1" applyProtection="1">
      <protection locked="0"/>
    </xf>
    <xf numFmtId="0" fontId="43" fillId="4" borderId="69" xfId="51" applyNumberFormat="1" applyFont="1" applyBorder="1" applyProtection="1">
      <protection locked="0"/>
    </xf>
    <xf numFmtId="2" fontId="43" fillId="4" borderId="74" xfId="51" applyNumberFormat="1" applyFont="1" applyBorder="1" applyProtection="1">
      <protection locked="0"/>
    </xf>
    <xf numFmtId="2" fontId="45" fillId="4" borderId="48" xfId="51" applyNumberFormat="1" applyFont="1" applyBorder="1"/>
    <xf numFmtId="0" fontId="43" fillId="4" borderId="75" xfId="51" applyNumberFormat="1" applyFont="1" applyBorder="1"/>
    <xf numFmtId="0" fontId="43" fillId="4" borderId="61" xfId="51" applyNumberFormat="1" applyFont="1" applyBorder="1"/>
    <xf numFmtId="0" fontId="43" fillId="4" borderId="42" xfId="51" applyNumberFormat="1" applyFont="1" applyBorder="1"/>
    <xf numFmtId="2" fontId="43" fillId="4" borderId="38" xfId="51" applyNumberFormat="1" applyFont="1" applyBorder="1"/>
    <xf numFmtId="0" fontId="43" fillId="4" borderId="76" xfId="51" applyNumberFormat="1" applyFont="1" applyBorder="1" applyAlignment="1">
      <alignment horizontal="right"/>
    </xf>
    <xf numFmtId="0" fontId="43" fillId="4" borderId="49" xfId="51" applyNumberFormat="1" applyFont="1" applyBorder="1"/>
    <xf numFmtId="2" fontId="43" fillId="4" borderId="69" xfId="51" applyNumberFormat="1" applyFont="1" applyBorder="1"/>
    <xf numFmtId="2" fontId="43" fillId="4" borderId="41" xfId="51" applyNumberFormat="1" applyFont="1" applyBorder="1"/>
    <xf numFmtId="0" fontId="43" fillId="4" borderId="69" xfId="51" applyNumberFormat="1" applyFont="1" applyBorder="1"/>
    <xf numFmtId="0" fontId="43" fillId="4" borderId="57" xfId="51" applyNumberFormat="1" applyFont="1" applyBorder="1" applyProtection="1">
      <protection locked="0"/>
    </xf>
    <xf numFmtId="0" fontId="43" fillId="4" borderId="58" xfId="51" applyNumberFormat="1" applyFont="1" applyBorder="1" applyAlignment="1" applyProtection="1">
      <alignment horizontal="center"/>
      <protection locked="0"/>
    </xf>
    <xf numFmtId="1" fontId="43" fillId="4" borderId="54" xfId="51" applyNumberFormat="1" applyFont="1" applyBorder="1" applyAlignment="1" applyProtection="1">
      <alignment horizontal="center"/>
      <protection locked="0"/>
    </xf>
    <xf numFmtId="2" fontId="43" fillId="4" borderId="77" xfId="51" applyNumberFormat="1" applyFont="1" applyBorder="1"/>
    <xf numFmtId="0" fontId="43" fillId="4" borderId="50" xfId="51" applyNumberFormat="1" applyFont="1" applyBorder="1"/>
    <xf numFmtId="0" fontId="43" fillId="4" borderId="51" xfId="51" applyNumberFormat="1" applyFont="1" applyBorder="1"/>
    <xf numFmtId="0" fontId="43" fillId="4" borderId="56" xfId="51" applyNumberFormat="1" applyFont="1" applyBorder="1"/>
    <xf numFmtId="1" fontId="43" fillId="4" borderId="73" xfId="51" applyNumberFormat="1" applyFont="1" applyBorder="1"/>
    <xf numFmtId="167" fontId="43" fillId="4" borderId="73" xfId="51" applyNumberFormat="1" applyFont="1" applyBorder="1"/>
    <xf numFmtId="2" fontId="45" fillId="4" borderId="77" xfId="51" applyNumberFormat="1" applyFont="1" applyBorder="1"/>
    <xf numFmtId="0" fontId="43" fillId="4" borderId="30" xfId="51" applyNumberFormat="1" applyFont="1" applyBorder="1" applyAlignment="1">
      <alignment horizontal="left"/>
    </xf>
    <xf numFmtId="2" fontId="43" fillId="4" borderId="31" xfId="51" applyNumberFormat="1" applyFont="1" applyBorder="1"/>
    <xf numFmtId="7" fontId="45" fillId="4" borderId="34" xfId="51" applyNumberFormat="1" applyFont="1" applyBorder="1"/>
    <xf numFmtId="2" fontId="43" fillId="4" borderId="0" xfId="51" applyNumberFormat="1" applyFont="1"/>
    <xf numFmtId="0" fontId="43" fillId="4" borderId="35" xfId="51" applyNumberFormat="1" applyFont="1" applyBorder="1"/>
    <xf numFmtId="0" fontId="43" fillId="4" borderId="35" xfId="51" applyNumberFormat="1" applyFont="1" applyBorder="1" applyProtection="1">
      <protection hidden="1"/>
    </xf>
    <xf numFmtId="7" fontId="45" fillId="4" borderId="38" xfId="51" applyNumberFormat="1" applyFont="1" applyBorder="1" applyProtection="1">
      <protection hidden="1"/>
    </xf>
    <xf numFmtId="2" fontId="43" fillId="4" borderId="0" xfId="51" applyNumberFormat="1" applyFont="1" applyProtection="1">
      <protection locked="0"/>
    </xf>
    <xf numFmtId="166" fontId="43" fillId="4" borderId="0" xfId="51" applyNumberFormat="1" applyFont="1" applyProtection="1">
      <protection locked="0"/>
    </xf>
    <xf numFmtId="0" fontId="43" fillId="4" borderId="0" xfId="51" applyNumberFormat="1" applyFont="1" applyAlignment="1" applyProtection="1">
      <alignment horizontal="right"/>
      <protection locked="0"/>
    </xf>
    <xf numFmtId="0" fontId="45" fillId="4" borderId="34" xfId="51" applyNumberFormat="1" applyFont="1" applyBorder="1"/>
    <xf numFmtId="0" fontId="43" fillId="4" borderId="53" xfId="51" applyNumberFormat="1" applyFont="1" applyBorder="1" applyAlignment="1">
      <alignment horizontal="center"/>
    </xf>
    <xf numFmtId="0" fontId="43" fillId="4" borderId="49" xfId="51" applyNumberFormat="1" applyFont="1" applyBorder="1" applyProtection="1">
      <protection locked="0"/>
    </xf>
    <xf numFmtId="2" fontId="43" fillId="4" borderId="49" xfId="51" applyNumberFormat="1" applyFont="1" applyBorder="1" applyProtection="1">
      <protection locked="0"/>
    </xf>
    <xf numFmtId="0" fontId="43" fillId="4" borderId="53" xfId="51" applyNumberFormat="1" applyFont="1" applyBorder="1"/>
    <xf numFmtId="7" fontId="45" fillId="4" borderId="55" xfId="51" applyNumberFormat="1" applyFont="1" applyBorder="1" applyProtection="1">
      <protection locked="0"/>
    </xf>
    <xf numFmtId="0" fontId="42" fillId="4" borderId="0" xfId="51" applyNumberFormat="1" applyAlignment="1">
      <alignment horizontal="center"/>
    </xf>
    <xf numFmtId="0" fontId="42" fillId="4" borderId="0" xfId="51" applyNumberFormat="1" applyAlignment="1">
      <alignment horizontal="centerContinuous" vertical="center"/>
    </xf>
    <xf numFmtId="0" fontId="43" fillId="4" borderId="0" xfId="51" applyNumberFormat="1" applyFont="1" applyAlignment="1">
      <alignment horizontal="centerContinuous" vertical="center"/>
    </xf>
    <xf numFmtId="0" fontId="42" fillId="4" borderId="0" xfId="51" applyNumberFormat="1" applyAlignment="1">
      <alignment horizontal="centerContinuous"/>
    </xf>
    <xf numFmtId="2" fontId="42" fillId="4" borderId="0" xfId="51" applyNumberFormat="1"/>
    <xf numFmtId="0" fontId="42" fillId="4" borderId="0" xfId="51" applyNumberFormat="1" applyAlignment="1" applyProtection="1">
      <alignment horizontal="center"/>
      <protection locked="0" hidden="1"/>
    </xf>
    <xf numFmtId="0" fontId="42" fillId="4" borderId="0" xfId="51" applyNumberFormat="1" applyProtection="1">
      <protection locked="0" hidden="1"/>
    </xf>
    <xf numFmtId="0" fontId="1" fillId="0" borderId="0" xfId="50" applyProtection="1"/>
    <xf numFmtId="0" fontId="22" fillId="0" borderId="0" xfId="0" applyFont="1" applyProtection="1"/>
    <xf numFmtId="0" fontId="1" fillId="0" borderId="0" xfId="50" applyBorder="1" applyProtection="1"/>
    <xf numFmtId="0" fontId="1" fillId="0" borderId="2" xfId="50" applyBorder="1" applyProtection="1"/>
    <xf numFmtId="0" fontId="1" fillId="0" borderId="3" xfId="50" applyBorder="1" applyProtection="1"/>
    <xf numFmtId="0" fontId="25" fillId="0" borderId="2" xfId="50" applyFont="1" applyBorder="1" applyProtection="1"/>
    <xf numFmtId="0" fontId="25" fillId="0" borderId="3" xfId="50" applyFont="1" applyBorder="1" applyProtection="1"/>
    <xf numFmtId="0" fontId="1" fillId="0" borderId="5" xfId="50" applyBorder="1" applyProtection="1"/>
    <xf numFmtId="0" fontId="25" fillId="0" borderId="6" xfId="50" applyFont="1" applyBorder="1" applyProtection="1"/>
    <xf numFmtId="0" fontId="25" fillId="0" borderId="7" xfId="50" applyFont="1" applyBorder="1" applyProtection="1"/>
    <xf numFmtId="0" fontId="25" fillId="0" borderId="8" xfId="50" applyFont="1" applyBorder="1" applyAlignment="1" applyProtection="1">
      <alignment horizontal="left" vertical="top"/>
    </xf>
    <xf numFmtId="0" fontId="25" fillId="0" borderId="9" xfId="50" applyFont="1" applyBorder="1" applyAlignment="1" applyProtection="1">
      <alignment horizontal="left" vertical="top"/>
    </xf>
    <xf numFmtId="0" fontId="21" fillId="2" borderId="0" xfId="0" applyFont="1" applyFill="1" applyProtection="1"/>
    <xf numFmtId="0" fontId="21" fillId="0" borderId="0" xfId="0" applyFont="1" applyProtection="1"/>
    <xf numFmtId="0" fontId="25" fillId="0" borderId="6" xfId="50" applyFont="1" applyBorder="1" applyAlignment="1" applyProtection="1">
      <alignment horizontal="left" vertical="top"/>
    </xf>
    <xf numFmtId="0" fontId="25" fillId="0" borderId="7" xfId="50" applyFont="1" applyBorder="1" applyAlignment="1" applyProtection="1">
      <alignment horizontal="left" vertical="top"/>
    </xf>
    <xf numFmtId="0" fontId="25" fillId="0" borderId="5" xfId="50" applyFont="1" applyBorder="1" applyProtection="1"/>
    <xf numFmtId="0" fontId="25" fillId="0" borderId="0" xfId="50" applyFont="1" applyBorder="1" applyProtection="1"/>
    <xf numFmtId="0" fontId="25" fillId="0" borderId="11" xfId="50" applyFont="1" applyBorder="1" applyProtection="1"/>
    <xf numFmtId="0" fontId="25" fillId="0" borderId="12" xfId="50" applyFont="1" applyBorder="1" applyProtection="1"/>
    <xf numFmtId="0" fontId="1" fillId="0" borderId="11" xfId="50" applyBorder="1" applyProtection="1"/>
    <xf numFmtId="0" fontId="1" fillId="0" borderId="12" xfId="50" applyBorder="1" applyProtection="1"/>
    <xf numFmtId="0" fontId="28" fillId="0" borderId="11" xfId="50" applyFont="1" applyBorder="1" applyAlignment="1" applyProtection="1">
      <alignment horizontal="left" vertical="center"/>
    </xf>
    <xf numFmtId="0" fontId="28" fillId="0" borderId="12" xfId="50" applyFont="1" applyBorder="1" applyAlignment="1" applyProtection="1">
      <alignment horizontal="left" vertical="center"/>
    </xf>
    <xf numFmtId="0" fontId="28" fillId="0" borderId="13" xfId="50" applyFont="1" applyBorder="1" applyAlignment="1" applyProtection="1">
      <alignment horizontal="left" vertical="center"/>
    </xf>
    <xf numFmtId="0" fontId="24" fillId="0" borderId="3" xfId="50" applyFont="1" applyBorder="1" applyAlignment="1" applyProtection="1">
      <alignment horizontal="right" vertical="center"/>
    </xf>
    <xf numFmtId="0" fontId="1" fillId="0" borderId="5" xfId="50" applyBorder="1" applyAlignment="1" applyProtection="1">
      <alignment vertical="center"/>
    </xf>
    <xf numFmtId="0" fontId="34" fillId="0" borderId="14" xfId="50" applyFont="1" applyBorder="1" applyAlignment="1" applyProtection="1">
      <alignment vertical="center"/>
    </xf>
    <xf numFmtId="0" fontId="37" fillId="0" borderId="16" xfId="50" applyFont="1" applyBorder="1" applyAlignment="1" applyProtection="1">
      <alignment vertical="center"/>
    </xf>
    <xf numFmtId="0" fontId="30" fillId="0" borderId="14" xfId="50" applyFont="1" applyBorder="1" applyAlignment="1" applyProtection="1">
      <alignment vertical="center"/>
    </xf>
    <xf numFmtId="0" fontId="1" fillId="0" borderId="16" xfId="50" applyFont="1" applyBorder="1" applyAlignment="1" applyProtection="1">
      <alignment vertical="center"/>
    </xf>
    <xf numFmtId="0" fontId="1" fillId="0" borderId="16" xfId="50" applyBorder="1" applyAlignment="1" applyProtection="1">
      <alignment vertical="center"/>
    </xf>
    <xf numFmtId="0" fontId="1" fillId="0" borderId="0" xfId="50" applyAlignment="1" applyProtection="1">
      <alignment vertical="center"/>
    </xf>
    <xf numFmtId="0" fontId="1" fillId="0" borderId="5" xfId="50" applyFont="1" applyBorder="1" applyAlignment="1" applyProtection="1">
      <alignment horizontal="left" vertical="center"/>
    </xf>
    <xf numFmtId="0" fontId="1" fillId="0" borderId="0" xfId="50" applyFont="1" applyAlignment="1" applyProtection="1">
      <alignment horizontal="left" vertical="center"/>
    </xf>
    <xf numFmtId="0" fontId="30" fillId="0" borderId="6" xfId="50" applyFont="1" applyBorder="1" applyAlignment="1" applyProtection="1">
      <alignment horizontal="left" vertical="center"/>
    </xf>
    <xf numFmtId="0" fontId="30" fillId="0" borderId="7" xfId="50" applyFont="1" applyBorder="1" applyAlignment="1" applyProtection="1">
      <alignment horizontal="left" vertical="center"/>
    </xf>
    <xf numFmtId="0" fontId="1" fillId="0" borderId="0" xfId="50" applyAlignment="1" applyProtection="1">
      <alignment horizontal="left" vertical="center"/>
    </xf>
    <xf numFmtId="0" fontId="1" fillId="0" borderId="5" xfId="50" applyBorder="1" applyAlignment="1" applyProtection="1">
      <alignment horizontal="left" vertical="center"/>
    </xf>
    <xf numFmtId="0" fontId="1" fillId="0" borderId="14" xfId="50" applyBorder="1" applyAlignment="1" applyProtection="1">
      <alignment vertical="center"/>
    </xf>
    <xf numFmtId="0" fontId="1" fillId="0" borderId="15" xfId="50" applyFont="1" applyBorder="1" applyAlignment="1" applyProtection="1">
      <alignment vertical="center"/>
    </xf>
    <xf numFmtId="0" fontId="37" fillId="0" borderId="16" xfId="50" applyFont="1" applyBorder="1" applyAlignment="1" applyProtection="1">
      <alignment vertical="center"/>
      <protection locked="0"/>
    </xf>
    <xf numFmtId="0" fontId="1" fillId="0" borderId="16" xfId="50" applyFont="1" applyBorder="1" applyAlignment="1" applyProtection="1">
      <alignment vertical="center"/>
      <protection locked="0"/>
    </xf>
    <xf numFmtId="0" fontId="1" fillId="0" borderId="14" xfId="50" applyBorder="1" applyAlignment="1" applyProtection="1">
      <alignment vertical="center"/>
      <protection locked="0"/>
    </xf>
    <xf numFmtId="0" fontId="0" fillId="0" borderId="0" xfId="0" applyAlignment="1">
      <alignment horizontal="center" vertical="center"/>
    </xf>
    <xf numFmtId="164" fontId="0" fillId="0" borderId="0" xfId="0" applyNumberFormat="1" applyAlignment="1">
      <alignment horizontal="center" vertical="center"/>
    </xf>
    <xf numFmtId="49" fontId="0" fillId="0" borderId="0" xfId="0" applyNumberFormat="1" applyAlignment="1">
      <alignment horizontal="center" vertical="center"/>
    </xf>
    <xf numFmtId="14" fontId="0" fillId="0" borderId="0" xfId="0" applyNumberFormat="1" applyAlignment="1">
      <alignment horizontal="center" vertical="center"/>
    </xf>
    <xf numFmtId="20" fontId="0" fillId="0" borderId="0" xfId="0" applyNumberFormat="1" applyAlignment="1">
      <alignment horizontal="center" vertical="center"/>
    </xf>
    <xf numFmtId="165" fontId="24" fillId="0" borderId="78" xfId="0" applyNumberFormat="1" applyFont="1" applyBorder="1" applyAlignment="1">
      <alignment horizontal="center" vertical="center" wrapText="1"/>
    </xf>
    <xf numFmtId="0" fontId="24" fillId="0" borderId="15" xfId="0" applyFont="1" applyBorder="1" applyAlignment="1">
      <alignment horizontal="center" wrapText="1"/>
    </xf>
    <xf numFmtId="0" fontId="24" fillId="0" borderId="17" xfId="0" applyFont="1" applyBorder="1" applyAlignment="1">
      <alignment horizontal="center" vertical="center" wrapText="1"/>
    </xf>
    <xf numFmtId="0" fontId="30" fillId="0" borderId="11" xfId="50" applyFont="1" applyBorder="1" applyAlignment="1" applyProtection="1">
      <alignment horizontal="left" vertical="center"/>
      <protection locked="0"/>
    </xf>
    <xf numFmtId="20" fontId="30" fillId="0" borderId="16" xfId="50" applyNumberFormat="1" applyFont="1" applyBorder="1" applyAlignment="1" applyProtection="1">
      <alignment horizontal="center" vertical="center"/>
      <protection locked="0"/>
    </xf>
    <xf numFmtId="0" fontId="1" fillId="0" borderId="0" xfId="50" applyProtection="1">
      <protection locked="0"/>
    </xf>
    <xf numFmtId="0" fontId="32" fillId="0" borderId="14" xfId="50" applyFont="1" applyBorder="1" applyAlignment="1" applyProtection="1">
      <alignment vertical="center"/>
    </xf>
    <xf numFmtId="0" fontId="30" fillId="0" borderId="16" xfId="50" applyFont="1" applyBorder="1" applyAlignment="1" applyProtection="1">
      <alignment vertical="center"/>
    </xf>
    <xf numFmtId="0" fontId="33" fillId="0" borderId="14" xfId="50" applyFont="1" applyBorder="1" applyAlignment="1" applyProtection="1">
      <alignment vertical="center"/>
    </xf>
    <xf numFmtId="0" fontId="27" fillId="0" borderId="14" xfId="50" applyFont="1" applyBorder="1" applyAlignment="1" applyProtection="1">
      <alignment vertical="center"/>
    </xf>
    <xf numFmtId="0" fontId="28" fillId="0" borderId="16" xfId="50" applyFont="1" applyBorder="1" applyAlignment="1" applyProtection="1">
      <alignment vertical="center"/>
    </xf>
    <xf numFmtId="0" fontId="28" fillId="0" borderId="14" xfId="50" applyFont="1" applyBorder="1" applyAlignment="1" applyProtection="1">
      <alignment horizontal="left" vertical="center"/>
    </xf>
    <xf numFmtId="0" fontId="28" fillId="0" borderId="16" xfId="50" applyFont="1" applyBorder="1" applyAlignment="1" applyProtection="1">
      <alignment vertical="center"/>
      <protection locked="0"/>
    </xf>
    <xf numFmtId="0" fontId="1" fillId="0" borderId="0" xfId="50" applyBorder="1" applyAlignment="1" applyProtection="1">
      <alignment vertical="center"/>
    </xf>
    <xf numFmtId="0" fontId="21" fillId="2" borderId="0" xfId="0" applyFont="1" applyFill="1" applyAlignment="1" applyProtection="1">
      <alignment vertical="center"/>
    </xf>
    <xf numFmtId="0" fontId="21" fillId="0" borderId="0" xfId="0" applyFont="1" applyAlignment="1" applyProtection="1">
      <alignment vertical="center"/>
    </xf>
    <xf numFmtId="0" fontId="27" fillId="0" borderId="14" xfId="50" applyFont="1" applyBorder="1" applyAlignment="1" applyProtection="1">
      <alignment horizontal="left" vertical="center"/>
    </xf>
    <xf numFmtId="14" fontId="28" fillId="0" borderId="15" xfId="50" applyNumberFormat="1" applyFont="1" applyBorder="1" applyAlignment="1" applyProtection="1">
      <alignment horizontal="left" vertical="center"/>
      <protection locked="0"/>
    </xf>
    <xf numFmtId="0" fontId="28" fillId="0" borderId="16" xfId="50" applyFont="1" applyBorder="1" applyAlignment="1" applyProtection="1">
      <alignment horizontal="left" vertical="center"/>
    </xf>
    <xf numFmtId="20" fontId="28" fillId="0" borderId="15" xfId="50" applyNumberFormat="1" applyFont="1" applyBorder="1" applyAlignment="1" applyProtection="1">
      <alignment horizontal="left" vertical="center"/>
      <protection locked="0"/>
    </xf>
    <xf numFmtId="20" fontId="28" fillId="0" borderId="16" xfId="50" applyNumberFormat="1" applyFont="1" applyBorder="1" applyAlignment="1" applyProtection="1">
      <alignment horizontal="left" vertical="center"/>
    </xf>
    <xf numFmtId="0" fontId="1" fillId="0" borderId="0" xfId="50" applyBorder="1" applyAlignment="1" applyProtection="1">
      <alignment horizontal="left" vertical="center"/>
    </xf>
    <xf numFmtId="0" fontId="21" fillId="2" borderId="0" xfId="0" applyFont="1" applyFill="1" applyAlignment="1" applyProtection="1">
      <alignment horizontal="left" vertical="center"/>
    </xf>
    <xf numFmtId="0" fontId="21" fillId="0" borderId="0" xfId="0" applyFont="1" applyAlignment="1" applyProtection="1">
      <alignment horizontal="left" vertical="center"/>
    </xf>
    <xf numFmtId="0" fontId="28" fillId="0" borderId="11" xfId="50" applyFont="1" applyBorder="1" applyAlignment="1" applyProtection="1">
      <alignment vertical="center"/>
    </xf>
    <xf numFmtId="0" fontId="28" fillId="0" borderId="12" xfId="50" applyFont="1" applyBorder="1" applyAlignment="1" applyProtection="1">
      <alignment vertical="center"/>
      <protection locked="0"/>
    </xf>
    <xf numFmtId="0" fontId="28" fillId="0" borderId="12" xfId="50" applyFont="1" applyBorder="1" applyAlignment="1" applyProtection="1">
      <alignment vertical="center"/>
    </xf>
    <xf numFmtId="0" fontId="1" fillId="0" borderId="14" xfId="50" applyFont="1" applyBorder="1" applyAlignment="1" applyProtection="1">
      <alignment vertical="center"/>
    </xf>
    <xf numFmtId="0" fontId="28" fillId="0" borderId="3" xfId="50" applyFont="1" applyBorder="1" applyAlignment="1" applyProtection="1">
      <alignment vertical="center"/>
    </xf>
    <xf numFmtId="0" fontId="31" fillId="0" borderId="0" xfId="50" applyFont="1" applyBorder="1" applyAlignment="1" applyProtection="1">
      <alignment vertical="center"/>
    </xf>
    <xf numFmtId="0" fontId="28" fillId="0" borderId="0" xfId="50" applyFont="1" applyBorder="1" applyAlignment="1" applyProtection="1">
      <alignment vertical="center"/>
    </xf>
    <xf numFmtId="0" fontId="28" fillId="0" borderId="5" xfId="50" applyFont="1" applyBorder="1" applyAlignment="1" applyProtection="1">
      <alignment vertical="center"/>
    </xf>
    <xf numFmtId="0" fontId="31" fillId="0" borderId="14" xfId="50" applyFont="1" applyBorder="1" applyAlignment="1" applyProtection="1">
      <alignment vertical="center"/>
    </xf>
    <xf numFmtId="0" fontId="31" fillId="0" borderId="2" xfId="50" applyFont="1" applyBorder="1" applyAlignment="1" applyProtection="1">
      <alignment vertical="center"/>
    </xf>
    <xf numFmtId="0" fontId="30" fillId="0" borderId="3" xfId="50" applyFont="1" applyBorder="1" applyAlignment="1" applyProtection="1">
      <alignment vertical="center"/>
    </xf>
    <xf numFmtId="0" fontId="33" fillId="0" borderId="5" xfId="50" applyFont="1" applyBorder="1" applyAlignment="1" applyProtection="1">
      <alignment vertical="center"/>
    </xf>
    <xf numFmtId="0" fontId="30" fillId="0" borderId="0" xfId="50" applyFont="1" applyBorder="1" applyAlignment="1" applyProtection="1">
      <alignment vertical="center"/>
    </xf>
    <xf numFmtId="0" fontId="22" fillId="2" borderId="0" xfId="0" applyFont="1" applyFill="1" applyAlignment="1" applyProtection="1">
      <alignment vertical="center"/>
    </xf>
    <xf numFmtId="0" fontId="22" fillId="0" borderId="0" xfId="0" applyFont="1" applyAlignment="1" applyProtection="1">
      <alignment vertical="center"/>
    </xf>
    <xf numFmtId="0" fontId="30" fillId="0" borderId="11" xfId="50" applyFont="1" applyBorder="1" applyAlignment="1" applyProtection="1">
      <alignment vertical="center"/>
    </xf>
    <xf numFmtId="0" fontId="24" fillId="0" borderId="2" xfId="50" applyFont="1" applyBorder="1" applyAlignment="1" applyProtection="1">
      <alignment vertical="center"/>
    </xf>
    <xf numFmtId="0" fontId="24" fillId="0" borderId="4" xfId="50" applyFont="1" applyBorder="1" applyAlignment="1" applyProtection="1">
      <alignment vertical="center"/>
    </xf>
    <xf numFmtId="0" fontId="24" fillId="0" borderId="3" xfId="50" applyFont="1" applyBorder="1" applyAlignment="1" applyProtection="1">
      <alignment vertical="center"/>
    </xf>
    <xf numFmtId="0" fontId="24" fillId="0" borderId="14" xfId="50" applyFont="1" applyBorder="1" applyAlignment="1" applyProtection="1">
      <alignment vertical="center"/>
    </xf>
    <xf numFmtId="0" fontId="1" fillId="3" borderId="14" xfId="50" applyFill="1" applyBorder="1" applyAlignment="1" applyProtection="1">
      <alignment vertical="center"/>
    </xf>
    <xf numFmtId="0" fontId="1" fillId="3" borderId="16" xfId="50" applyFill="1" applyBorder="1" applyAlignment="1" applyProtection="1">
      <alignment vertical="center"/>
    </xf>
    <xf numFmtId="0" fontId="1" fillId="3" borderId="17" xfId="50" applyFill="1" applyBorder="1" applyAlignment="1" applyProtection="1">
      <alignment horizontal="center" vertical="center"/>
    </xf>
    <xf numFmtId="0" fontId="1" fillId="3" borderId="15" xfId="50" applyFill="1" applyBorder="1" applyAlignment="1" applyProtection="1">
      <alignment horizontal="center" vertical="center"/>
    </xf>
    <xf numFmtId="0" fontId="25" fillId="0" borderId="17" xfId="50" applyFont="1" applyBorder="1" applyAlignment="1" applyProtection="1">
      <alignment vertical="center"/>
      <protection locked="0"/>
    </xf>
    <xf numFmtId="0" fontId="25" fillId="0" borderId="15" xfId="50" applyFont="1" applyBorder="1" applyAlignment="1" applyProtection="1">
      <alignment vertical="center"/>
      <protection locked="0"/>
    </xf>
    <xf numFmtId="0" fontId="1" fillId="0" borderId="15" xfId="50" applyBorder="1" applyAlignment="1" applyProtection="1">
      <alignment vertical="center"/>
      <protection locked="0"/>
    </xf>
    <xf numFmtId="0" fontId="1" fillId="0" borderId="17" xfId="50" applyBorder="1" applyAlignment="1" applyProtection="1">
      <alignment vertical="center"/>
      <protection locked="0"/>
    </xf>
    <xf numFmtId="0" fontId="1" fillId="0" borderId="16" xfId="50" applyBorder="1" applyAlignment="1" applyProtection="1">
      <alignment vertical="center"/>
      <protection locked="0"/>
    </xf>
    <xf numFmtId="0" fontId="1" fillId="0" borderId="18" xfId="50" applyBorder="1" applyAlignment="1" applyProtection="1">
      <alignment vertical="center"/>
      <protection locked="0"/>
    </xf>
    <xf numFmtId="0" fontId="1" fillId="0" borderId="3" xfId="50" applyBorder="1" applyAlignment="1" applyProtection="1">
      <alignment vertical="center"/>
      <protection locked="0"/>
    </xf>
    <xf numFmtId="0" fontId="30" fillId="0" borderId="14" xfId="50" applyFont="1" applyBorder="1" applyAlignment="1" applyProtection="1">
      <alignment vertical="center"/>
      <protection locked="0"/>
    </xf>
    <xf numFmtId="0" fontId="1" fillId="0" borderId="12" xfId="50" applyBorder="1" applyAlignment="1" applyProtection="1">
      <alignment vertical="center"/>
      <protection locked="0"/>
    </xf>
    <xf numFmtId="0" fontId="1" fillId="0" borderId="12" xfId="50" applyBorder="1" applyAlignment="1" applyProtection="1">
      <alignment vertical="center"/>
    </xf>
    <xf numFmtId="0" fontId="36" fillId="0" borderId="0" xfId="50" applyFont="1" applyBorder="1" applyAlignment="1" applyProtection="1">
      <alignment vertical="center"/>
    </xf>
    <xf numFmtId="0" fontId="1" fillId="0" borderId="2" xfId="50" applyBorder="1" applyAlignment="1" applyProtection="1">
      <alignment vertical="center"/>
    </xf>
    <xf numFmtId="0" fontId="1" fillId="0" borderId="3" xfId="50" applyBorder="1" applyAlignment="1" applyProtection="1">
      <alignment vertical="center"/>
    </xf>
    <xf numFmtId="0" fontId="38" fillId="0" borderId="11" xfId="50" applyFont="1" applyFill="1" applyBorder="1" applyAlignment="1" applyProtection="1">
      <alignment vertical="center"/>
    </xf>
    <xf numFmtId="0" fontId="38" fillId="0" borderId="0" xfId="50" applyFont="1" applyFill="1" applyBorder="1" applyAlignment="1" applyProtection="1">
      <alignment vertical="center"/>
    </xf>
    <xf numFmtId="0" fontId="1" fillId="0" borderId="7" xfId="50" applyBorder="1" applyAlignment="1" applyProtection="1">
      <alignment vertical="center"/>
    </xf>
    <xf numFmtId="0" fontId="26" fillId="0" borderId="0" xfId="50" applyFont="1" applyBorder="1" applyAlignment="1" applyProtection="1">
      <alignment vertical="center"/>
    </xf>
    <xf numFmtId="0" fontId="1" fillId="0" borderId="5" xfId="50" applyFont="1" applyBorder="1" applyAlignment="1" applyProtection="1">
      <alignment vertical="center"/>
    </xf>
    <xf numFmtId="0" fontId="40" fillId="0" borderId="21" xfId="50" applyFont="1" applyBorder="1" applyAlignment="1" applyProtection="1">
      <alignment vertical="center"/>
    </xf>
    <xf numFmtId="0" fontId="40" fillId="0" borderId="20" xfId="50" applyFont="1" applyBorder="1" applyAlignment="1" applyProtection="1">
      <alignment vertical="center"/>
    </xf>
    <xf numFmtId="0" fontId="40" fillId="0" borderId="22" xfId="50" applyFont="1" applyBorder="1" applyAlignment="1" applyProtection="1">
      <alignment vertical="center"/>
    </xf>
    <xf numFmtId="0" fontId="1" fillId="0" borderId="0" xfId="50" applyFont="1" applyAlignment="1" applyProtection="1">
      <alignment vertical="center"/>
    </xf>
    <xf numFmtId="0" fontId="1" fillId="0" borderId="0" xfId="50" applyFont="1" applyBorder="1" applyAlignment="1" applyProtection="1">
      <alignment vertical="center"/>
    </xf>
    <xf numFmtId="0" fontId="24" fillId="0" borderId="5" xfId="50" applyFont="1" applyBorder="1" applyAlignment="1" applyProtection="1">
      <alignment vertical="center"/>
    </xf>
    <xf numFmtId="0" fontId="30" fillId="0" borderId="2" xfId="50" applyFont="1" applyBorder="1" applyAlignment="1" applyProtection="1">
      <alignment vertical="center"/>
    </xf>
    <xf numFmtId="0" fontId="29" fillId="0" borderId="3" xfId="50" applyFont="1" applyBorder="1" applyAlignment="1" applyProtection="1">
      <alignment horizontal="center" vertical="center"/>
    </xf>
    <xf numFmtId="0" fontId="24" fillId="0" borderId="3" xfId="50" applyFont="1" applyBorder="1" applyAlignment="1" applyProtection="1">
      <alignment horizontal="left" vertical="center"/>
    </xf>
    <xf numFmtId="0" fontId="24" fillId="0" borderId="0" xfId="50" applyFont="1" applyAlignment="1" applyProtection="1">
      <alignment vertical="center"/>
    </xf>
    <xf numFmtId="0" fontId="30" fillId="0" borderId="3" xfId="50" applyFont="1" applyBorder="1" applyAlignment="1" applyProtection="1">
      <alignment horizontal="center" vertical="center"/>
    </xf>
    <xf numFmtId="0" fontId="30" fillId="0" borderId="16" xfId="50" applyFont="1" applyBorder="1" applyAlignment="1" applyProtection="1">
      <alignment vertical="center"/>
      <protection locked="0"/>
    </xf>
    <xf numFmtId="0" fontId="30" fillId="0" borderId="5" xfId="50" applyFont="1" applyBorder="1" applyAlignment="1" applyProtection="1">
      <alignment vertical="center"/>
    </xf>
    <xf numFmtId="0" fontId="22" fillId="2" borderId="0" xfId="0" applyFont="1" applyFill="1" applyAlignment="1" applyProtection="1">
      <alignment vertical="center"/>
      <protection hidden="1"/>
    </xf>
    <xf numFmtId="0" fontId="22" fillId="0" borderId="0" xfId="0" applyFont="1" applyAlignment="1" applyProtection="1">
      <alignment vertical="center"/>
      <protection hidden="1"/>
    </xf>
    <xf numFmtId="0" fontId="29" fillId="0" borderId="16" xfId="50" applyFont="1" applyBorder="1" applyAlignment="1" applyProtection="1">
      <alignment vertical="center"/>
    </xf>
    <xf numFmtId="0" fontId="30" fillId="0" borderId="16" xfId="50" applyFont="1" applyBorder="1" applyAlignment="1" applyProtection="1">
      <alignment horizontal="left" vertical="center"/>
    </xf>
    <xf numFmtId="0" fontId="31" fillId="0" borderId="2" xfId="50" applyFont="1" applyBorder="1" applyAlignment="1" applyProtection="1">
      <alignment horizontal="left" vertical="center"/>
      <protection hidden="1"/>
    </xf>
    <xf numFmtId="0" fontId="31" fillId="0" borderId="0" xfId="50" applyFont="1" applyBorder="1" applyAlignment="1" applyProtection="1">
      <alignment horizontal="left" vertical="center"/>
      <protection hidden="1"/>
    </xf>
    <xf numFmtId="0" fontId="22" fillId="0" borderId="0" xfId="0" applyFont="1" applyBorder="1" applyAlignment="1" applyProtection="1">
      <alignment vertical="center"/>
      <protection hidden="1"/>
    </xf>
    <xf numFmtId="0" fontId="28" fillId="0" borderId="27" xfId="50" applyFont="1" applyBorder="1" applyAlignment="1" applyProtection="1">
      <alignment vertical="center"/>
    </xf>
    <xf numFmtId="0" fontId="28" fillId="0" borderId="28" xfId="50" applyFont="1" applyBorder="1" applyAlignment="1" applyProtection="1">
      <alignment vertical="center"/>
    </xf>
    <xf numFmtId="0" fontId="30" fillId="0" borderId="6" xfId="50" applyFont="1" applyBorder="1" applyAlignment="1" applyProtection="1">
      <alignment vertical="center"/>
    </xf>
    <xf numFmtId="0" fontId="28" fillId="0" borderId="7" xfId="50" applyFont="1" applyBorder="1" applyAlignment="1" applyProtection="1">
      <alignment vertical="center"/>
    </xf>
    <xf numFmtId="0" fontId="34" fillId="0" borderId="11" xfId="50" applyFont="1" applyBorder="1" applyAlignment="1" applyProtection="1">
      <alignment vertical="center"/>
    </xf>
    <xf numFmtId="0" fontId="36" fillId="0" borderId="12" xfId="50" applyFont="1" applyBorder="1" applyAlignment="1" applyProtection="1">
      <alignment vertical="center"/>
    </xf>
    <xf numFmtId="18" fontId="28" fillId="0" borderId="16" xfId="50" applyNumberFormat="1" applyFont="1" applyBorder="1" applyAlignment="1" applyProtection="1">
      <alignment horizontal="left" vertical="center"/>
      <protection locked="0"/>
    </xf>
    <xf numFmtId="20" fontId="28" fillId="0" borderId="12" xfId="50" applyNumberFormat="1" applyFont="1" applyBorder="1" applyAlignment="1" applyProtection="1">
      <alignment horizontal="left" vertical="center"/>
      <protection locked="0"/>
    </xf>
    <xf numFmtId="0" fontId="1" fillId="3" borderId="14" xfId="50" applyFill="1" applyBorder="1" applyAlignment="1" applyProtection="1">
      <alignment horizontal="center" vertical="center"/>
    </xf>
    <xf numFmtId="0" fontId="1" fillId="3" borderId="16" xfId="50" applyFill="1" applyBorder="1" applyAlignment="1" applyProtection="1">
      <alignment horizontal="center" vertical="center"/>
    </xf>
    <xf numFmtId="0" fontId="1" fillId="0" borderId="14" xfId="50" applyBorder="1" applyAlignment="1" applyProtection="1">
      <alignment horizontal="center" vertical="center"/>
      <protection locked="0"/>
    </xf>
    <xf numFmtId="0" fontId="1" fillId="0" borderId="16" xfId="50" applyBorder="1" applyAlignment="1" applyProtection="1">
      <alignment horizontal="center" vertical="center"/>
      <protection locked="0"/>
    </xf>
    <xf numFmtId="0" fontId="1" fillId="0" borderId="24" xfId="50" applyFont="1" applyBorder="1" applyAlignment="1" applyProtection="1">
      <alignment horizontal="center" vertical="center"/>
      <protection locked="0"/>
    </xf>
    <xf numFmtId="0" fontId="1" fillId="0" borderId="25" xfId="50" applyFont="1" applyBorder="1" applyAlignment="1" applyProtection="1">
      <alignment horizontal="center" vertical="center"/>
      <protection locked="0"/>
    </xf>
    <xf numFmtId="0" fontId="34" fillId="0" borderId="14" xfId="50" applyFont="1" applyBorder="1" applyAlignment="1" applyProtection="1">
      <alignment horizontal="center" vertical="center"/>
      <protection locked="0"/>
    </xf>
    <xf numFmtId="0" fontId="34" fillId="0" borderId="16" xfId="50" applyFont="1" applyBorder="1" applyAlignment="1" applyProtection="1">
      <alignment horizontal="center" vertical="center"/>
      <protection locked="0"/>
    </xf>
    <xf numFmtId="0" fontId="34" fillId="0" borderId="15" xfId="50" applyFont="1" applyBorder="1" applyAlignment="1" applyProtection="1">
      <alignment horizontal="center" vertical="center"/>
      <protection locked="0"/>
    </xf>
    <xf numFmtId="0" fontId="39" fillId="0" borderId="2" xfId="50" applyFont="1" applyBorder="1" applyAlignment="1" applyProtection="1">
      <alignment horizontal="center" vertical="center"/>
    </xf>
    <xf numFmtId="0" fontId="39" fillId="0" borderId="3" xfId="50" applyFont="1" applyBorder="1" applyAlignment="1" applyProtection="1">
      <alignment horizontal="center" vertical="center"/>
    </xf>
    <xf numFmtId="0" fontId="39" fillId="0" borderId="11" xfId="50" applyFont="1" applyBorder="1" applyAlignment="1" applyProtection="1">
      <alignment horizontal="center" vertical="center"/>
    </xf>
    <xf numFmtId="0" fontId="39" fillId="0" borderId="12" xfId="50" applyFont="1" applyBorder="1" applyAlignment="1" applyProtection="1">
      <alignment horizontal="center" vertical="center"/>
    </xf>
    <xf numFmtId="0" fontId="28" fillId="0" borderId="16" xfId="50" applyFont="1" applyBorder="1" applyAlignment="1" applyProtection="1">
      <alignment horizontal="left" vertical="center"/>
      <protection locked="0"/>
    </xf>
    <xf numFmtId="0" fontId="37" fillId="0" borderId="16" xfId="50" applyFont="1" applyBorder="1" applyAlignment="1" applyProtection="1">
      <alignment horizontal="left" vertical="center"/>
      <protection locked="0"/>
    </xf>
    <xf numFmtId="0" fontId="37" fillId="0" borderId="15" xfId="50" applyFont="1" applyBorder="1" applyAlignment="1" applyProtection="1">
      <alignment horizontal="left" vertical="center"/>
      <protection locked="0"/>
    </xf>
    <xf numFmtId="0" fontId="1" fillId="0" borderId="16" xfId="50" applyFont="1" applyBorder="1" applyAlignment="1" applyProtection="1">
      <alignment horizontal="center" vertical="center"/>
      <protection locked="0"/>
    </xf>
    <xf numFmtId="0" fontId="30" fillId="0" borderId="16" xfId="50" applyFont="1" applyBorder="1" applyAlignment="1" applyProtection="1">
      <alignment horizontal="left" vertical="center"/>
      <protection locked="0"/>
    </xf>
    <xf numFmtId="0" fontId="1" fillId="0" borderId="7" xfId="50" applyBorder="1" applyAlignment="1" applyProtection="1">
      <alignment horizontal="left" vertical="center"/>
    </xf>
    <xf numFmtId="0" fontId="28" fillId="0" borderId="0" xfId="50" applyFont="1" applyBorder="1" applyAlignment="1" applyProtection="1">
      <alignment horizontal="left" vertical="center" wrapText="1"/>
      <protection hidden="1"/>
    </xf>
    <xf numFmtId="0" fontId="31" fillId="0" borderId="16" xfId="50" applyFont="1" applyBorder="1" applyAlignment="1" applyProtection="1">
      <alignment horizontal="left" vertical="center"/>
      <protection locked="0"/>
    </xf>
    <xf numFmtId="0" fontId="31" fillId="0" borderId="14" xfId="50" applyFont="1" applyBorder="1" applyAlignment="1" applyProtection="1">
      <alignment horizontal="left" vertical="center"/>
      <protection locked="0"/>
    </xf>
    <xf numFmtId="0" fontId="1" fillId="0" borderId="24" xfId="50" applyFont="1" applyBorder="1" applyAlignment="1" applyProtection="1">
      <alignment horizontal="left" vertical="center"/>
      <protection locked="0"/>
    </xf>
    <xf numFmtId="0" fontId="1" fillId="0" borderId="26" xfId="50" applyFont="1" applyBorder="1" applyAlignment="1" applyProtection="1">
      <alignment horizontal="left" vertical="center"/>
      <protection locked="0"/>
    </xf>
    <xf numFmtId="0" fontId="34" fillId="0" borderId="14" xfId="50" applyFont="1" applyBorder="1" applyAlignment="1" applyProtection="1">
      <alignment horizontal="left" vertical="center"/>
      <protection locked="0"/>
    </xf>
    <xf numFmtId="0" fontId="34" fillId="0" borderId="16" xfId="50" applyFont="1" applyBorder="1" applyAlignment="1" applyProtection="1">
      <alignment horizontal="left" vertical="center"/>
      <protection locked="0"/>
    </xf>
    <xf numFmtId="0" fontId="34" fillId="0" borderId="15" xfId="50" applyFont="1" applyBorder="1" applyAlignment="1" applyProtection="1">
      <alignment horizontal="left" vertical="center"/>
      <protection locked="0"/>
    </xf>
    <xf numFmtId="0" fontId="28" fillId="0" borderId="14" xfId="50" applyFont="1" applyBorder="1" applyAlignment="1" applyProtection="1">
      <alignment horizontal="left" vertical="center"/>
      <protection locked="0"/>
    </xf>
    <xf numFmtId="0" fontId="28" fillId="0" borderId="15" xfId="50" applyFont="1" applyBorder="1" applyAlignment="1" applyProtection="1">
      <alignment horizontal="left" vertical="center"/>
      <protection locked="0"/>
    </xf>
    <xf numFmtId="0" fontId="40" fillId="0" borderId="19" xfId="50" applyFont="1" applyBorder="1" applyAlignment="1" applyProtection="1">
      <alignment horizontal="center" vertical="center"/>
    </xf>
    <xf numFmtId="0" fontId="40" fillId="0" borderId="20" xfId="50" applyFont="1" applyBorder="1" applyAlignment="1" applyProtection="1">
      <alignment horizontal="center" vertical="center"/>
    </xf>
    <xf numFmtId="0" fontId="1" fillId="0" borderId="20" xfId="50" applyBorder="1" applyAlignment="1" applyProtection="1">
      <alignment horizontal="center" vertical="center"/>
    </xf>
    <xf numFmtId="0" fontId="40" fillId="0" borderId="21" xfId="50" applyFont="1" applyBorder="1" applyAlignment="1" applyProtection="1">
      <alignment vertical="center"/>
    </xf>
    <xf numFmtId="0" fontId="1" fillId="0" borderId="20" xfId="50" applyBorder="1" applyAlignment="1" applyProtection="1">
      <alignment vertical="center"/>
    </xf>
    <xf numFmtId="0" fontId="40" fillId="0" borderId="21" xfId="50" applyFont="1" applyBorder="1" applyAlignment="1" applyProtection="1">
      <alignment horizontal="center" vertical="center"/>
    </xf>
    <xf numFmtId="0" fontId="40" fillId="0" borderId="23" xfId="50" applyFont="1" applyBorder="1" applyAlignment="1" applyProtection="1">
      <alignment horizontal="center" vertical="center"/>
    </xf>
    <xf numFmtId="0" fontId="39" fillId="0" borderId="5" xfId="50" applyFont="1" applyBorder="1" applyAlignment="1" applyProtection="1">
      <alignment horizontal="center" vertical="center"/>
    </xf>
    <xf numFmtId="0" fontId="39" fillId="0" borderId="10" xfId="50" applyFont="1" applyBorder="1" applyAlignment="1" applyProtection="1">
      <alignment horizontal="center" vertical="center"/>
    </xf>
    <xf numFmtId="0" fontId="39" fillId="0" borderId="0" xfId="50" applyFont="1" applyBorder="1" applyAlignment="1" applyProtection="1">
      <alignment horizontal="center" vertical="center"/>
    </xf>
    <xf numFmtId="0" fontId="39" fillId="0" borderId="4" xfId="50" applyFont="1" applyBorder="1" applyAlignment="1" applyProtection="1">
      <alignment horizontal="center" vertical="center"/>
    </xf>
    <xf numFmtId="0" fontId="26" fillId="0" borderId="5" xfId="50" applyFont="1" applyBorder="1" applyAlignment="1" applyProtection="1">
      <alignment horizontal="center"/>
    </xf>
    <xf numFmtId="0" fontId="1" fillId="0" borderId="0" xfId="50" applyBorder="1" applyAlignment="1" applyProtection="1">
      <alignment horizontal="center"/>
    </xf>
    <xf numFmtId="0" fontId="35" fillId="0" borderId="14" xfId="50" applyFont="1" applyBorder="1" applyAlignment="1" applyProtection="1">
      <alignment horizontal="center" vertical="center"/>
    </xf>
    <xf numFmtId="0" fontId="1" fillId="0" borderId="16" xfId="50" applyBorder="1" applyAlignment="1" applyProtection="1">
      <alignment horizontal="center" vertical="center"/>
    </xf>
    <xf numFmtId="0" fontId="1" fillId="0" borderId="15" xfId="50" applyBorder="1" applyAlignment="1" applyProtection="1">
      <alignment horizontal="center" vertical="center"/>
    </xf>
    <xf numFmtId="0" fontId="28" fillId="0" borderId="16" xfId="50" applyFont="1" applyBorder="1" applyAlignment="1" applyProtection="1">
      <alignment horizontal="left" vertical="center"/>
      <protection locked="0" hidden="1"/>
    </xf>
    <xf numFmtId="0" fontId="28" fillId="0" borderId="15" xfId="50" applyFont="1" applyBorder="1" applyAlignment="1" applyProtection="1">
      <alignment horizontal="left" vertical="center"/>
      <protection locked="0" hidden="1"/>
    </xf>
    <xf numFmtId="0" fontId="28" fillId="0" borderId="16" xfId="50" applyFont="1" applyBorder="1" applyAlignment="1" applyProtection="1">
      <alignment horizontal="center" vertical="center"/>
      <protection locked="0"/>
    </xf>
    <xf numFmtId="0" fontId="28" fillId="0" borderId="15" xfId="50" applyFont="1" applyBorder="1" applyAlignment="1" applyProtection="1">
      <alignment horizontal="center" vertical="center"/>
      <protection locked="0"/>
    </xf>
    <xf numFmtId="0" fontId="30" fillId="0" borderId="16" xfId="50" applyFont="1" applyBorder="1" applyAlignment="1" applyProtection="1">
      <alignment horizontal="center" vertical="center"/>
      <protection locked="0"/>
    </xf>
    <xf numFmtId="0" fontId="30" fillId="0" borderId="15" xfId="50" applyFont="1" applyBorder="1" applyAlignment="1" applyProtection="1">
      <alignment horizontal="center" vertical="center"/>
      <protection locked="0"/>
    </xf>
    <xf numFmtId="0" fontId="1" fillId="0" borderId="14" xfId="50" applyBorder="1" applyAlignment="1" applyProtection="1">
      <alignment horizontal="left" vertical="center"/>
      <protection locked="0"/>
    </xf>
    <xf numFmtId="0" fontId="1" fillId="0" borderId="16" xfId="50" applyBorder="1" applyAlignment="1" applyProtection="1">
      <alignment horizontal="left" vertical="center"/>
      <protection locked="0"/>
    </xf>
    <xf numFmtId="0" fontId="43" fillId="4" borderId="65" xfId="51" applyNumberFormat="1" applyFont="1" applyBorder="1" applyAlignment="1" applyProtection="1">
      <protection locked="0"/>
    </xf>
    <xf numFmtId="0" fontId="42" fillId="4" borderId="61" xfId="51" applyNumberFormat="1" applyBorder="1" applyAlignment="1" applyProtection="1">
      <protection locked="0"/>
    </xf>
    <xf numFmtId="0" fontId="43" fillId="4" borderId="68" xfId="51" applyNumberFormat="1" applyFont="1" applyBorder="1" applyAlignment="1" applyProtection="1">
      <protection locked="0"/>
    </xf>
    <xf numFmtId="0" fontId="42" fillId="4" borderId="69" xfId="51" applyNumberFormat="1" applyBorder="1" applyAlignment="1"/>
    <xf numFmtId="0" fontId="43" fillId="4" borderId="65" xfId="51" applyNumberFormat="1" applyFont="1" applyBorder="1" applyAlignment="1" applyProtection="1">
      <alignment horizontal="center"/>
      <protection locked="0"/>
    </xf>
    <xf numFmtId="0" fontId="43" fillId="4" borderId="68" xfId="51" applyNumberFormat="1" applyFont="1" applyBorder="1" applyAlignment="1" applyProtection="1">
      <alignment horizontal="center"/>
      <protection locked="0"/>
    </xf>
    <xf numFmtId="0" fontId="42" fillId="4" borderId="69" xfId="51" applyNumberFormat="1" applyBorder="1" applyAlignment="1" applyProtection="1">
      <protection locked="0"/>
    </xf>
    <xf numFmtId="0" fontId="53" fillId="4" borderId="59" xfId="51" applyNumberFormat="1" applyFont="1" applyBorder="1" applyAlignment="1" applyProtection="1">
      <alignment horizontal="center"/>
      <protection locked="0"/>
    </xf>
    <xf numFmtId="0" fontId="42" fillId="4" borderId="60" xfId="51" applyNumberFormat="1" applyBorder="1" applyAlignment="1" applyProtection="1">
      <protection locked="0"/>
    </xf>
    <xf numFmtId="0" fontId="43" fillId="4" borderId="59" xfId="51" applyNumberFormat="1" applyFont="1" applyBorder="1" applyAlignment="1" applyProtection="1">
      <protection locked="0"/>
    </xf>
    <xf numFmtId="0" fontId="43" fillId="4" borderId="0" xfId="51" applyNumberFormat="1" applyFont="1" applyAlignment="1" applyProtection="1">
      <protection locked="0"/>
    </xf>
    <xf numFmtId="0" fontId="42" fillId="4" borderId="0" xfId="51" applyNumberFormat="1" applyAlignment="1" applyProtection="1">
      <protection locked="0"/>
    </xf>
    <xf numFmtId="0" fontId="46" fillId="4" borderId="37" xfId="51" applyNumberFormat="1" applyFont="1" applyBorder="1" applyAlignment="1" applyProtection="1">
      <alignment horizontal="center" vertical="center"/>
      <protection locked="0"/>
    </xf>
    <xf numFmtId="0" fontId="43" fillId="4" borderId="36" xfId="51" applyNumberFormat="1" applyFont="1" applyBorder="1" applyAlignment="1" applyProtection="1">
      <alignment horizontal="center" vertical="center"/>
      <protection locked="0"/>
    </xf>
    <xf numFmtId="0" fontId="43" fillId="4" borderId="37" xfId="51" applyNumberFormat="1" applyFont="1" applyBorder="1" applyAlignment="1" applyProtection="1">
      <alignment horizontal="center" vertical="center"/>
      <protection locked="0"/>
    </xf>
    <xf numFmtId="0" fontId="46" fillId="4" borderId="37" xfId="51" applyNumberFormat="1" applyFont="1" applyBorder="1" applyAlignment="1">
      <alignment horizontal="center" vertical="center"/>
    </xf>
    <xf numFmtId="0" fontId="43" fillId="4" borderId="0" xfId="51" applyNumberFormat="1" applyFont="1" applyBorder="1" applyAlignment="1">
      <alignment horizontal="center" vertical="center"/>
    </xf>
    <xf numFmtId="0" fontId="43" fillId="4" borderId="38" xfId="51" applyNumberFormat="1" applyFont="1" applyBorder="1" applyAlignment="1">
      <alignment horizontal="center" vertical="center"/>
    </xf>
    <xf numFmtId="0" fontId="43" fillId="4" borderId="37" xfId="51" applyNumberFormat="1" applyFont="1" applyBorder="1" applyAlignment="1">
      <alignment horizontal="center" vertical="center"/>
    </xf>
    <xf numFmtId="0" fontId="46" fillId="4" borderId="0" xfId="51" applyNumberFormat="1" applyFont="1" applyFill="1" applyAlignment="1" applyProtection="1">
      <alignment vertical="center"/>
      <protection locked="0"/>
    </xf>
    <xf numFmtId="0" fontId="48" fillId="4" borderId="0" xfId="51" applyNumberFormat="1" applyFont="1" applyAlignment="1" applyProtection="1">
      <alignment vertical="center"/>
      <protection locked="0"/>
    </xf>
    <xf numFmtId="0" fontId="43" fillId="4" borderId="40" xfId="51" applyNumberFormat="1" applyFont="1" applyBorder="1" applyAlignment="1" applyProtection="1">
      <protection locked="0"/>
    </xf>
    <xf numFmtId="0" fontId="42" fillId="4" borderId="40" xfId="51" applyNumberFormat="1" applyBorder="1" applyAlignment="1" applyProtection="1">
      <protection locked="0"/>
    </xf>
    <xf numFmtId="0" fontId="43" fillId="4" borderId="0" xfId="51" applyNumberFormat="1" applyFont="1" applyBorder="1" applyAlignment="1" applyProtection="1">
      <protection locked="0"/>
    </xf>
    <xf numFmtId="0" fontId="42" fillId="4" borderId="38" xfId="51" applyNumberFormat="1" applyBorder="1" applyAlignment="1" applyProtection="1">
      <protection locked="0"/>
    </xf>
    <xf numFmtId="0" fontId="43" fillId="4" borderId="49" xfId="51" applyNumberFormat="1" applyFont="1" applyBorder="1" applyAlignment="1" applyProtection="1">
      <protection locked="0"/>
    </xf>
    <xf numFmtId="0" fontId="42" fillId="4" borderId="49" xfId="51" applyNumberFormat="1" applyBorder="1" applyAlignment="1" applyProtection="1">
      <protection locked="0"/>
    </xf>
    <xf numFmtId="0" fontId="55" fillId="0" borderId="0" xfId="0" applyFont="1"/>
    <xf numFmtId="0" fontId="22" fillId="0" borderId="0" xfId="0" applyFont="1"/>
  </cellXfs>
  <cellStyles count="52">
    <cellStyle name="Currency 2" xfId="2" xr:uid="{00000000-0005-0000-0000-000000000000}"/>
    <cellStyle name="Currency 2 2" xfId="6" xr:uid="{00000000-0005-0000-0000-000001000000}"/>
    <cellStyle name="Currency 2 2 2" xfId="32" xr:uid="{00000000-0005-0000-0000-000002000000}"/>
    <cellStyle name="Currency 2 2 3" xfId="14" xr:uid="{00000000-0005-0000-0000-000003000000}"/>
    <cellStyle name="Currency 2 3" xfId="29" xr:uid="{00000000-0005-0000-0000-000004000000}"/>
    <cellStyle name="Currency 2 4" xfId="11" xr:uid="{00000000-0005-0000-0000-000005000000}"/>
    <cellStyle name="Normal" xfId="0" builtinId="0"/>
    <cellStyle name="Normal 10" xfId="19" xr:uid="{00000000-0005-0000-0000-000007000000}"/>
    <cellStyle name="Normal 11" xfId="20" xr:uid="{00000000-0005-0000-0000-000008000000}"/>
    <cellStyle name="Normal 12" xfId="21" xr:uid="{00000000-0005-0000-0000-000009000000}"/>
    <cellStyle name="Normal 13" xfId="22" xr:uid="{00000000-0005-0000-0000-00000A000000}"/>
    <cellStyle name="Normal 14" xfId="23" xr:uid="{00000000-0005-0000-0000-00000B000000}"/>
    <cellStyle name="Normal 15" xfId="24" xr:uid="{00000000-0005-0000-0000-00000C000000}"/>
    <cellStyle name="Normal 16" xfId="25" xr:uid="{00000000-0005-0000-0000-00000D000000}"/>
    <cellStyle name="Normal 17" xfId="26" xr:uid="{00000000-0005-0000-0000-00000E000000}"/>
    <cellStyle name="Normal 18" xfId="27" xr:uid="{00000000-0005-0000-0000-00000F000000}"/>
    <cellStyle name="Normal 19" xfId="36" xr:uid="{00000000-0005-0000-0000-000010000000}"/>
    <cellStyle name="Normal 2" xfId="1" xr:uid="{00000000-0005-0000-0000-000011000000}"/>
    <cellStyle name="Normal 2 2" xfId="5" xr:uid="{00000000-0005-0000-0000-000012000000}"/>
    <cellStyle name="Normal 2 2 2" xfId="31" xr:uid="{00000000-0005-0000-0000-000013000000}"/>
    <cellStyle name="Normal 2 2 3" xfId="13" xr:uid="{00000000-0005-0000-0000-000014000000}"/>
    <cellStyle name="Normal 2 3" xfId="28" xr:uid="{00000000-0005-0000-0000-000015000000}"/>
    <cellStyle name="Normal 2 4" xfId="10" xr:uid="{00000000-0005-0000-0000-000016000000}"/>
    <cellStyle name="Normal 20" xfId="37" xr:uid="{00000000-0005-0000-0000-000017000000}"/>
    <cellStyle name="Normal 21" xfId="38" xr:uid="{00000000-0005-0000-0000-000018000000}"/>
    <cellStyle name="Normal 22" xfId="39" xr:uid="{00000000-0005-0000-0000-000019000000}"/>
    <cellStyle name="Normal 23" xfId="40" xr:uid="{00000000-0005-0000-0000-00001A000000}"/>
    <cellStyle name="Normal 24" xfId="41" xr:uid="{00000000-0005-0000-0000-00001B000000}"/>
    <cellStyle name="Normal 25" xfId="42" xr:uid="{00000000-0005-0000-0000-00001C000000}"/>
    <cellStyle name="Normal 26" xfId="43" xr:uid="{00000000-0005-0000-0000-00001D000000}"/>
    <cellStyle name="Normal 27" xfId="44" xr:uid="{00000000-0005-0000-0000-00001E000000}"/>
    <cellStyle name="Normal 28" xfId="45" xr:uid="{00000000-0005-0000-0000-00001F000000}"/>
    <cellStyle name="Normal 29" xfId="46" xr:uid="{00000000-0005-0000-0000-000020000000}"/>
    <cellStyle name="Normal 3" xfId="4" xr:uid="{00000000-0005-0000-0000-000021000000}"/>
    <cellStyle name="Normal 30" xfId="47" xr:uid="{00000000-0005-0000-0000-000022000000}"/>
    <cellStyle name="Normal 31" xfId="48" xr:uid="{00000000-0005-0000-0000-000023000000}"/>
    <cellStyle name="Normal 32" xfId="49" xr:uid="{00000000-0005-0000-0000-000024000000}"/>
    <cellStyle name="Normal 33" xfId="50" xr:uid="{00000000-0005-0000-0000-000025000000}"/>
    <cellStyle name="Normal 34" xfId="51" xr:uid="{00000000-0005-0000-0000-000026000000}"/>
    <cellStyle name="Normal 4" xfId="3" xr:uid="{00000000-0005-0000-0000-000027000000}"/>
    <cellStyle name="Normal 4 2" xfId="30" xr:uid="{00000000-0005-0000-0000-000028000000}"/>
    <cellStyle name="Normal 4 3" xfId="12" xr:uid="{00000000-0005-0000-0000-000029000000}"/>
    <cellStyle name="Normal 5" xfId="7" xr:uid="{00000000-0005-0000-0000-00002A000000}"/>
    <cellStyle name="Normal 5 2" xfId="33" xr:uid="{00000000-0005-0000-0000-00002B000000}"/>
    <cellStyle name="Normal 5 3" xfId="15" xr:uid="{00000000-0005-0000-0000-00002C000000}"/>
    <cellStyle name="Normal 6" xfId="8" xr:uid="{00000000-0005-0000-0000-00002D000000}"/>
    <cellStyle name="Normal 6 2" xfId="34" xr:uid="{00000000-0005-0000-0000-00002E000000}"/>
    <cellStyle name="Normal 6 3" xfId="16" xr:uid="{00000000-0005-0000-0000-00002F000000}"/>
    <cellStyle name="Normal 7" xfId="9" xr:uid="{00000000-0005-0000-0000-000030000000}"/>
    <cellStyle name="Normal 7 2" xfId="35" xr:uid="{00000000-0005-0000-0000-000031000000}"/>
    <cellStyle name="Normal 8" xfId="17" xr:uid="{00000000-0005-0000-0000-000032000000}"/>
    <cellStyle name="Normal 9" xfId="18" xr:uid="{00000000-0005-0000-0000-000033000000}"/>
  </cellStyles>
  <dxfs count="39">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6D4E8"/>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CECEC"/>
      <rgbColor rgb="00E4EAF4"/>
      <rgbColor rgb="00CCFFCC"/>
      <rgbColor rgb="00FFFF99"/>
      <rgbColor rgb="00D9D9D9"/>
      <rgbColor rgb="00FF99CC"/>
      <rgbColor rgb="00969696"/>
      <rgbColor rgb="00FFCC99"/>
      <rgbColor rgb="003366FF"/>
      <rgbColor rgb="0033CCCC"/>
      <rgbColor rgb="0099CC00"/>
      <rgbColor rgb="00FFCC00"/>
      <rgbColor rgb="00FF9900"/>
      <rgbColor rgb="00FF6600"/>
      <rgbColor rgb="003B5E91"/>
      <rgbColor rgb="00969696"/>
      <rgbColor rgb="00003366"/>
      <rgbColor rgb="00339966"/>
      <rgbColor rgb="00003300"/>
      <rgbColor rgb="00333300"/>
      <rgbColor rgb="00993300"/>
      <rgbColor rgb="00EFEFEF"/>
      <rgbColor rgb="003B5E91"/>
      <rgbColor rgb="00333333"/>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B$200" lockText="1" noThreeD="1"/>
</file>

<file path=xl/ctrlProps/ctrlProp2.xml><?xml version="1.0" encoding="utf-8"?>
<formControlPr xmlns="http://schemas.microsoft.com/office/spreadsheetml/2009/9/main" objectType="CheckBox" fmlaLink="$A$200" lockText="1" noThreeD="1"/>
</file>

<file path=xl/ctrlProps/ctrlProp3.xml><?xml version="1.0" encoding="utf-8"?>
<formControlPr xmlns="http://schemas.microsoft.com/office/spreadsheetml/2009/9/main" objectType="CheckBox" fmlaLink="$C$20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106680</xdr:colOff>
          <xdr:row>0</xdr:row>
          <xdr:rowOff>182880</xdr:rowOff>
        </xdr:from>
        <xdr:to>
          <xdr:col>1</xdr:col>
          <xdr:colOff>693420</xdr:colOff>
          <xdr:row>0</xdr:row>
          <xdr:rowOff>518160</xdr:rowOff>
        </xdr:to>
        <xdr:sp macro="" textlink="">
          <xdr:nvSpPr>
            <xdr:cNvPr id="1092" name="CommandButton1"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175260</xdr:rowOff>
        </xdr:from>
        <xdr:to>
          <xdr:col>2</xdr:col>
          <xdr:colOff>579120</xdr:colOff>
          <xdr:row>0</xdr:row>
          <xdr:rowOff>525780</xdr:rowOff>
        </xdr:to>
        <xdr:sp macro="" textlink="">
          <xdr:nvSpPr>
            <xdr:cNvPr id="4707" name="CommandButton2" hidden="1">
              <a:extLst>
                <a:ext uri="{63B3BB69-23CF-44E3-9099-C40C66FF867C}">
                  <a14:compatExt spid="_x0000_s4707"/>
                </a:ext>
                <a:ext uri="{FF2B5EF4-FFF2-40B4-BE49-F238E27FC236}">
                  <a16:creationId xmlns:a16="http://schemas.microsoft.com/office/drawing/2014/main" id="{00000000-0008-0000-0000-0000631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352425</xdr:colOff>
      <xdr:row>46</xdr:row>
      <xdr:rowOff>9525</xdr:rowOff>
    </xdr:from>
    <xdr:to>
      <xdr:col>5</xdr:col>
      <xdr:colOff>76200</xdr:colOff>
      <xdr:row>50</xdr:row>
      <xdr:rowOff>151527</xdr:rowOff>
    </xdr:to>
    <xdr:pic>
      <xdr:nvPicPr>
        <xdr:cNvPr id="13" name="Picture 3" descr="Rizzo Logo Color">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0" y="10658475"/>
          <a:ext cx="1885950" cy="980202"/>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632460</xdr:colOff>
      <xdr:row>7</xdr:row>
      <xdr:rowOff>78105</xdr:rowOff>
    </xdr:from>
    <xdr:to>
      <xdr:col>14</xdr:col>
      <xdr:colOff>342932</xdr:colOff>
      <xdr:row>8</xdr:row>
      <xdr:rowOff>9937</xdr:rowOff>
    </xdr:to>
    <xdr:sp macro="" textlink="">
      <xdr:nvSpPr>
        <xdr:cNvPr id="2" name="Text Box 7">
          <a:extLst>
            <a:ext uri="{FF2B5EF4-FFF2-40B4-BE49-F238E27FC236}">
              <a16:creationId xmlns:a16="http://schemas.microsoft.com/office/drawing/2014/main" id="{00000000-0008-0000-0300-000002000000}"/>
            </a:ext>
          </a:extLst>
        </xdr:cNvPr>
        <xdr:cNvSpPr txBox="1">
          <a:spLocks noChangeArrowheads="1"/>
        </xdr:cNvSpPr>
      </xdr:nvSpPr>
      <xdr:spPr bwMode="auto">
        <a:xfrm>
          <a:off x="10957560" y="1925955"/>
          <a:ext cx="2510822" cy="20805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1D2FBE"/>
              </a:solidFill>
              <a:latin typeface="Arial"/>
              <a:cs typeface="Arial"/>
            </a:rPr>
            <a:t>Select only one payment type:</a:t>
          </a:r>
        </a:p>
      </xdr:txBody>
    </xdr:sp>
    <xdr:clientData/>
  </xdr:twoCellAnchor>
  <xdr:twoCellAnchor>
    <xdr:from>
      <xdr:col>13</xdr:col>
      <xdr:colOff>967740</xdr:colOff>
      <xdr:row>8</xdr:row>
      <xdr:rowOff>40005</xdr:rowOff>
    </xdr:from>
    <xdr:to>
      <xdr:col>14</xdr:col>
      <xdr:colOff>487666</xdr:colOff>
      <xdr:row>9</xdr:row>
      <xdr:rowOff>1905</xdr:rowOff>
    </xdr:to>
    <xdr:sp macro="" textlink="">
      <xdr:nvSpPr>
        <xdr:cNvPr id="3" name="Text Box 8">
          <a:extLst>
            <a:ext uri="{FF2B5EF4-FFF2-40B4-BE49-F238E27FC236}">
              <a16:creationId xmlns:a16="http://schemas.microsoft.com/office/drawing/2014/main" id="{00000000-0008-0000-0300-000003000000}"/>
            </a:ext>
          </a:extLst>
        </xdr:cNvPr>
        <xdr:cNvSpPr txBox="1">
          <a:spLocks noChangeArrowheads="1"/>
        </xdr:cNvSpPr>
      </xdr:nvSpPr>
      <xdr:spPr bwMode="auto">
        <a:xfrm>
          <a:off x="11292840" y="2164080"/>
          <a:ext cx="2320276" cy="238125"/>
        </a:xfrm>
        <a:prstGeom prst="rect">
          <a:avLst/>
        </a:prstGeom>
        <a:noFill/>
        <a:ln w="9525">
          <a:noFill/>
          <a:miter lim="800000"/>
          <a:headEnd/>
          <a:tailEnd/>
        </a:ln>
      </xdr:spPr>
      <xdr:txBody>
        <a:bodyPr vertOverflow="clip" wrap="square" lIns="36576" tIns="27432" rIns="0" bIns="0" anchor="t" upright="1"/>
        <a:lstStyle/>
        <a:p>
          <a:pPr algn="l" rtl="0">
            <a:defRPr sz="1000"/>
          </a:pPr>
          <a:r>
            <a:rPr lang="en-US" sz="1200" b="1" i="0" strike="noStrike">
              <a:solidFill>
                <a:srgbClr val="000000"/>
              </a:solidFill>
              <a:latin typeface="Arial"/>
              <a:cs typeface="Arial"/>
            </a:rPr>
            <a:t> Scope Estimate</a:t>
          </a:r>
        </a:p>
      </xdr:txBody>
    </xdr:sp>
    <xdr:clientData/>
  </xdr:twoCellAnchor>
  <xdr:twoCellAnchor>
    <xdr:from>
      <xdr:col>13</xdr:col>
      <xdr:colOff>1015365</xdr:colOff>
      <xdr:row>9</xdr:row>
      <xdr:rowOff>19050</xdr:rowOff>
    </xdr:from>
    <xdr:to>
      <xdr:col>14</xdr:col>
      <xdr:colOff>737239</xdr:colOff>
      <xdr:row>9</xdr:row>
      <xdr:rowOff>257175</xdr:rowOff>
    </xdr:to>
    <xdr:sp macro="" textlink="">
      <xdr:nvSpPr>
        <xdr:cNvPr id="4" name="Text Box 9">
          <a:extLst>
            <a:ext uri="{FF2B5EF4-FFF2-40B4-BE49-F238E27FC236}">
              <a16:creationId xmlns:a16="http://schemas.microsoft.com/office/drawing/2014/main" id="{00000000-0008-0000-0300-000004000000}"/>
            </a:ext>
          </a:extLst>
        </xdr:cNvPr>
        <xdr:cNvSpPr txBox="1">
          <a:spLocks noChangeArrowheads="1"/>
        </xdr:cNvSpPr>
      </xdr:nvSpPr>
      <xdr:spPr bwMode="auto">
        <a:xfrm>
          <a:off x="11340465" y="2419350"/>
          <a:ext cx="2522224" cy="23812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1" i="0" strike="noStrike">
              <a:solidFill>
                <a:srgbClr val="000000"/>
              </a:solidFill>
              <a:latin typeface="Arial"/>
              <a:cs typeface="Arial"/>
            </a:rPr>
            <a:t>Progress </a:t>
          </a:r>
          <a:r>
            <a:rPr lang="en-US" sz="800" b="1" i="0" strike="noStrike">
              <a:solidFill>
                <a:srgbClr val="0000FF"/>
              </a:solidFill>
              <a:latin typeface="Arial"/>
              <a:cs typeface="Arial"/>
            </a:rPr>
            <a:t>(progress payment = 90% of Total) </a:t>
          </a:r>
        </a:p>
      </xdr:txBody>
    </xdr:sp>
    <xdr:clientData fLocksWithSheet="0"/>
  </xdr:twoCellAnchor>
  <xdr:twoCellAnchor>
    <xdr:from>
      <xdr:col>13</xdr:col>
      <xdr:colOff>1024890</xdr:colOff>
      <xdr:row>10</xdr:row>
      <xdr:rowOff>0</xdr:rowOff>
    </xdr:from>
    <xdr:to>
      <xdr:col>14</xdr:col>
      <xdr:colOff>544816</xdr:colOff>
      <xdr:row>10</xdr:row>
      <xdr:rowOff>230684</xdr:rowOff>
    </xdr:to>
    <xdr:sp macro="" textlink="">
      <xdr:nvSpPr>
        <xdr:cNvPr id="5" name="Text Box 10">
          <a:extLst>
            <a:ext uri="{FF2B5EF4-FFF2-40B4-BE49-F238E27FC236}">
              <a16:creationId xmlns:a16="http://schemas.microsoft.com/office/drawing/2014/main" id="{00000000-0008-0000-0300-000005000000}"/>
            </a:ext>
          </a:extLst>
        </xdr:cNvPr>
        <xdr:cNvSpPr txBox="1">
          <a:spLocks noChangeArrowheads="1"/>
        </xdr:cNvSpPr>
      </xdr:nvSpPr>
      <xdr:spPr bwMode="auto">
        <a:xfrm>
          <a:off x="11349990" y="2676525"/>
          <a:ext cx="2320276" cy="23068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1" i="0" strike="noStrike">
              <a:solidFill>
                <a:srgbClr val="000000"/>
              </a:solidFill>
              <a:latin typeface="Arial"/>
              <a:cs typeface="Arial"/>
            </a:rPr>
            <a:t>Final</a:t>
          </a:r>
        </a:p>
      </xdr:txBody>
    </xdr:sp>
    <xdr:clientData/>
  </xdr:twoCellAnchor>
  <mc:AlternateContent xmlns:mc="http://schemas.openxmlformats.org/markup-compatibility/2006">
    <mc:Choice xmlns:a14="http://schemas.microsoft.com/office/drawing/2010/main" Requires="a14">
      <xdr:twoCellAnchor editAs="oneCell">
        <xdr:from>
          <xdr:col>13</xdr:col>
          <xdr:colOff>685800</xdr:colOff>
          <xdr:row>8</xdr:row>
          <xdr:rowOff>30480</xdr:rowOff>
        </xdr:from>
        <xdr:to>
          <xdr:col>13</xdr:col>
          <xdr:colOff>990600</xdr:colOff>
          <xdr:row>8</xdr:row>
          <xdr:rowOff>266700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693420</xdr:colOff>
          <xdr:row>9</xdr:row>
          <xdr:rowOff>30480</xdr:rowOff>
        </xdr:from>
        <xdr:to>
          <xdr:col>13</xdr:col>
          <xdr:colOff>998220</xdr:colOff>
          <xdr:row>9</xdr:row>
          <xdr:rowOff>259080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685800</xdr:colOff>
          <xdr:row>10</xdr:row>
          <xdr:rowOff>22860</xdr:rowOff>
        </xdr:from>
        <xdr:to>
          <xdr:col>13</xdr:col>
          <xdr:colOff>990600</xdr:colOff>
          <xdr:row>10</xdr:row>
          <xdr:rowOff>236220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frey\Desktop\Copy%20of%20con-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9"/>
      <sheetName val="Sheet1"/>
    </sheetNames>
    <sheetDataSet>
      <sheetData sheetId="0"/>
      <sheetData sheetId="1">
        <row r="1">
          <cell r="A1" t="b">
            <v>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pulent">
      <a:majorFont>
        <a:latin typeface="Trebuchet MS"/>
        <a:ea typeface=""/>
        <a:cs typeface=""/>
        <a:font script="Jpan" typeface="HG丸ｺﾞｼｯｸM-PRO"/>
        <a:font script="Hang" typeface="HY그래픽M"/>
        <a:font script="Hans" typeface="黑体"/>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Trebuchet MS"/>
        <a:ea typeface=""/>
        <a:cs typeface=""/>
        <a:font script="Jpan" typeface="HG丸ｺﾞｼｯｸM-PRO"/>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FB86B-509E-4085-BC9E-428B47B67D21}">
  <dimension ref="A1:A18"/>
  <sheetViews>
    <sheetView tabSelected="1" workbookViewId="0">
      <selection activeCell="E22" sqref="E22"/>
    </sheetView>
  </sheetViews>
  <sheetFormatPr defaultRowHeight="13.2" x14ac:dyDescent="0.25"/>
  <sheetData>
    <row r="1" spans="1:1" x14ac:dyDescent="0.25">
      <c r="A1" s="377" t="s">
        <v>235</v>
      </c>
    </row>
    <row r="2" spans="1:1" x14ac:dyDescent="0.25">
      <c r="A2" s="378" t="s">
        <v>236</v>
      </c>
    </row>
    <row r="3" spans="1:1" x14ac:dyDescent="0.25">
      <c r="A3" s="378" t="s">
        <v>237</v>
      </c>
    </row>
    <row r="4" spans="1:1" x14ac:dyDescent="0.25">
      <c r="A4" s="378" t="s">
        <v>238</v>
      </c>
    </row>
    <row r="5" spans="1:1" x14ac:dyDescent="0.25">
      <c r="A5" s="378" t="s">
        <v>240</v>
      </c>
    </row>
    <row r="6" spans="1:1" x14ac:dyDescent="0.25">
      <c r="A6" s="378" t="s">
        <v>239</v>
      </c>
    </row>
    <row r="8" spans="1:1" x14ac:dyDescent="0.25">
      <c r="A8" s="377" t="s">
        <v>241</v>
      </c>
    </row>
    <row r="9" spans="1:1" x14ac:dyDescent="0.25">
      <c r="A9" s="378" t="s">
        <v>242</v>
      </c>
    </row>
    <row r="10" spans="1:1" x14ac:dyDescent="0.25">
      <c r="A10" s="378" t="s">
        <v>243</v>
      </c>
    </row>
    <row r="11" spans="1:1" x14ac:dyDescent="0.25">
      <c r="A11" s="378" t="s">
        <v>245</v>
      </c>
    </row>
    <row r="13" spans="1:1" x14ac:dyDescent="0.25">
      <c r="A13" s="377" t="s">
        <v>244</v>
      </c>
    </row>
    <row r="14" spans="1:1" x14ac:dyDescent="0.25">
      <c r="A14" s="378" t="s">
        <v>246</v>
      </c>
    </row>
    <row r="15" spans="1:1" x14ac:dyDescent="0.25">
      <c r="A15" s="378" t="s">
        <v>247</v>
      </c>
    </row>
    <row r="17" spans="1:1" x14ac:dyDescent="0.25">
      <c r="A17" s="377" t="s">
        <v>248</v>
      </c>
    </row>
    <row r="18" spans="1:1" x14ac:dyDescent="0.25">
      <c r="A18" s="378" t="s">
        <v>249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7"/>
  <sheetViews>
    <sheetView showGridLines="0" view="pageBreakPreview" zoomScale="115" zoomScaleNormal="115" zoomScaleSheetLayoutView="115" workbookViewId="0">
      <pane ySplit="1" topLeftCell="A26" activePane="bottomLeft" state="frozen"/>
      <selection pane="bottomLeft" activeCell="B35" sqref="B35:D35"/>
    </sheetView>
  </sheetViews>
  <sheetFormatPr defaultColWidth="9.109375" defaultRowHeight="14.4" x14ac:dyDescent="0.3"/>
  <cols>
    <col min="1" max="1" width="1.88671875" style="154" customWidth="1"/>
    <col min="2" max="2" width="11.6640625" style="154" customWidth="1"/>
    <col min="3" max="3" width="15.6640625" style="154" bestFit="1" customWidth="1"/>
    <col min="4" max="4" width="7.109375" style="154" customWidth="1"/>
    <col min="5" max="6" width="8.109375" style="154" customWidth="1"/>
    <col min="7" max="7" width="6.5546875" style="154" customWidth="1"/>
    <col min="8" max="8" width="11.5546875" style="154" customWidth="1"/>
    <col min="9" max="9" width="9.44140625" style="154" customWidth="1"/>
    <col min="10" max="10" width="5.44140625" style="154" customWidth="1"/>
    <col min="11" max="11" width="13.88671875" style="154" customWidth="1"/>
    <col min="12" max="12" width="14.44140625" style="154" customWidth="1"/>
    <col min="13" max="13" width="8.109375" style="154" customWidth="1"/>
    <col min="14" max="14" width="4.6640625" style="154" customWidth="1"/>
    <col min="15" max="15" width="9.109375" style="154"/>
    <col min="16" max="18" width="9.109375" style="1"/>
    <col min="19" max="19" width="0" style="1" hidden="1" customWidth="1"/>
    <col min="20" max="20" width="9.109375" style="155" hidden="1" customWidth="1"/>
    <col min="21" max="25" width="0" style="155" hidden="1" customWidth="1"/>
    <col min="26" max="16384" width="9.109375" style="155"/>
  </cols>
  <sheetData>
    <row r="1" spans="1:20" ht="42.75" customHeight="1" thickBot="1" x14ac:dyDescent="0.35">
      <c r="B1" s="208"/>
      <c r="C1" s="208"/>
    </row>
    <row r="2" spans="1:20" ht="16.5" customHeight="1" x14ac:dyDescent="0.3">
      <c r="A2" s="156"/>
      <c r="B2" s="157"/>
      <c r="C2" s="158"/>
      <c r="D2" s="158"/>
      <c r="E2" s="158"/>
      <c r="F2" s="159"/>
      <c r="G2" s="160"/>
      <c r="H2" s="160"/>
      <c r="I2" s="160"/>
      <c r="J2" s="160"/>
      <c r="K2" s="160"/>
      <c r="L2" s="160"/>
      <c r="M2" s="160"/>
      <c r="N2" s="160"/>
    </row>
    <row r="3" spans="1:20" ht="19.5" customHeight="1" x14ac:dyDescent="0.3">
      <c r="A3" s="161"/>
      <c r="B3" s="161"/>
      <c r="C3" s="156"/>
      <c r="D3" s="156"/>
      <c r="E3" s="156"/>
      <c r="F3" s="162" t="s">
        <v>3</v>
      </c>
      <c r="G3" s="163"/>
      <c r="H3" s="163"/>
      <c r="I3" s="163" t="s">
        <v>4</v>
      </c>
      <c r="J3" s="163"/>
      <c r="K3" s="163"/>
      <c r="L3" s="163"/>
      <c r="M3" s="163"/>
      <c r="N3" s="163"/>
    </row>
    <row r="4" spans="1:20" s="167" customFormat="1" ht="14.1" customHeight="1" x14ac:dyDescent="0.3">
      <c r="A4" s="161"/>
      <c r="B4" s="161"/>
      <c r="C4" s="156"/>
      <c r="D4" s="156"/>
      <c r="E4" s="156"/>
      <c r="F4" s="164"/>
      <c r="G4" s="165"/>
      <c r="H4" s="165"/>
      <c r="I4" s="165"/>
      <c r="J4" s="165"/>
      <c r="K4" s="165"/>
      <c r="L4" s="165"/>
      <c r="M4" s="165"/>
      <c r="N4" s="165"/>
      <c r="O4" s="154"/>
      <c r="P4" s="166"/>
      <c r="Q4" s="166"/>
      <c r="R4" s="166"/>
      <c r="S4" s="166"/>
    </row>
    <row r="5" spans="1:20" s="167" customFormat="1" ht="21.75" customHeight="1" x14ac:dyDescent="0.3">
      <c r="A5" s="161"/>
      <c r="B5" s="161"/>
      <c r="C5" s="156"/>
      <c r="D5" s="156"/>
      <c r="E5" s="156"/>
      <c r="F5" s="168" t="s">
        <v>5</v>
      </c>
      <c r="G5" s="169"/>
      <c r="H5" s="169"/>
      <c r="I5" s="169"/>
      <c r="J5" s="169"/>
      <c r="K5" s="169"/>
      <c r="L5" s="169"/>
      <c r="M5" s="169"/>
      <c r="N5" s="169"/>
      <c r="O5" s="154"/>
      <c r="P5" s="166"/>
      <c r="Q5" s="166"/>
      <c r="R5" s="166"/>
      <c r="S5" s="166"/>
    </row>
    <row r="6" spans="1:20" s="167" customFormat="1" ht="14.1" customHeight="1" x14ac:dyDescent="0.3">
      <c r="A6" s="161"/>
      <c r="B6" s="161"/>
      <c r="C6" s="156"/>
      <c r="D6" s="156"/>
      <c r="E6" s="156"/>
      <c r="F6" s="170"/>
      <c r="G6" s="171"/>
      <c r="H6" s="171"/>
      <c r="I6" s="171"/>
      <c r="J6" s="171"/>
      <c r="K6" s="171"/>
      <c r="L6" s="171"/>
      <c r="M6" s="171"/>
      <c r="N6" s="171"/>
      <c r="O6" s="154"/>
      <c r="P6" s="166"/>
      <c r="Q6" s="166"/>
      <c r="R6" s="166"/>
      <c r="S6" s="166"/>
    </row>
    <row r="7" spans="1:20" s="167" customFormat="1" ht="19.5" customHeight="1" thickBot="1" x14ac:dyDescent="0.35">
      <c r="A7" s="161"/>
      <c r="B7" s="161"/>
      <c r="C7" s="156"/>
      <c r="D7" s="156"/>
      <c r="E7" s="156"/>
      <c r="F7" s="172" t="s">
        <v>6</v>
      </c>
      <c r="G7" s="173"/>
      <c r="H7" s="173"/>
      <c r="I7" s="173"/>
      <c r="J7" s="173"/>
      <c r="K7" s="173"/>
      <c r="L7" s="173"/>
      <c r="M7" s="173"/>
      <c r="N7" s="173"/>
      <c r="O7" s="154"/>
      <c r="P7" s="166"/>
      <c r="Q7" s="166"/>
      <c r="R7" s="166"/>
      <c r="S7" s="166"/>
    </row>
    <row r="8" spans="1:20" s="167" customFormat="1" x14ac:dyDescent="0.3">
      <c r="A8" s="161"/>
      <c r="B8" s="161"/>
      <c r="C8" s="156"/>
      <c r="D8" s="156"/>
      <c r="E8" s="156"/>
      <c r="F8" s="156"/>
      <c r="G8" s="156"/>
      <c r="H8" s="156"/>
      <c r="I8" s="156"/>
      <c r="J8" s="156"/>
      <c r="K8" s="156"/>
      <c r="L8" s="156"/>
      <c r="M8" s="156"/>
      <c r="N8" s="156"/>
      <c r="O8" s="154"/>
      <c r="P8" s="166"/>
      <c r="Q8" s="166"/>
      <c r="R8" s="166"/>
      <c r="S8" s="166"/>
    </row>
    <row r="9" spans="1:20" s="167" customFormat="1" ht="30.6" x14ac:dyDescent="0.55000000000000004">
      <c r="A9" s="161"/>
      <c r="B9" s="337" t="s">
        <v>7</v>
      </c>
      <c r="C9" s="338"/>
      <c r="D9" s="338"/>
      <c r="E9" s="338"/>
      <c r="F9" s="338"/>
      <c r="G9" s="338"/>
      <c r="H9" s="338"/>
      <c r="I9" s="338"/>
      <c r="J9" s="338"/>
      <c r="K9" s="338"/>
      <c r="L9" s="338"/>
      <c r="M9" s="338"/>
      <c r="N9" s="338"/>
      <c r="O9" s="154"/>
      <c r="P9" s="166"/>
      <c r="Q9" s="166"/>
      <c r="R9" s="166"/>
      <c r="S9" s="166"/>
    </row>
    <row r="10" spans="1:20" s="167" customFormat="1" ht="16.95" customHeight="1" thickBot="1" x14ac:dyDescent="0.35">
      <c r="A10" s="161"/>
      <c r="B10" s="174"/>
      <c r="C10" s="175"/>
      <c r="D10" s="175"/>
      <c r="E10" s="175"/>
      <c r="F10" s="175"/>
      <c r="G10" s="175"/>
      <c r="H10" s="175"/>
      <c r="I10" s="175"/>
      <c r="J10" s="175"/>
      <c r="K10" s="175"/>
      <c r="L10" s="175"/>
      <c r="M10" s="175"/>
      <c r="N10" s="175"/>
      <c r="O10" s="154"/>
      <c r="P10" s="166"/>
      <c r="Q10" s="166"/>
      <c r="R10" s="166"/>
      <c r="S10" s="166"/>
    </row>
    <row r="11" spans="1:20" s="226" customFormat="1" ht="18.600000000000001" thickBot="1" x14ac:dyDescent="0.3">
      <c r="A11" s="192"/>
      <c r="B11" s="219" t="s">
        <v>8</v>
      </c>
      <c r="C11" s="220"/>
      <c r="D11" s="214" t="s">
        <v>9</v>
      </c>
      <c r="E11" s="342" t="str">
        <f>T11</f>
        <v>Saturday</v>
      </c>
      <c r="F11" s="343"/>
      <c r="G11" s="214" t="s">
        <v>10</v>
      </c>
      <c r="H11" s="221"/>
      <c r="I11" s="222"/>
      <c r="J11" s="214" t="s">
        <v>11</v>
      </c>
      <c r="K11" s="221"/>
      <c r="L11" s="295"/>
      <c r="M11" s="223"/>
      <c r="N11" s="221"/>
      <c r="O11" s="224"/>
      <c r="P11" s="225"/>
      <c r="Q11" s="225"/>
      <c r="R11" s="225"/>
      <c r="S11" s="225"/>
      <c r="T11" s="226" t="str">
        <f>TEXT(C11,"dddd")</f>
        <v>Saturday</v>
      </c>
    </row>
    <row r="12" spans="1:20" s="218" customFormat="1" ht="18.600000000000001" thickBot="1" x14ac:dyDescent="0.3">
      <c r="A12" s="180"/>
      <c r="B12" s="227" t="s">
        <v>155</v>
      </c>
      <c r="C12" s="228"/>
      <c r="D12" s="229"/>
      <c r="E12" s="229"/>
      <c r="F12" s="229"/>
      <c r="G12" s="230" t="s">
        <v>220</v>
      </c>
      <c r="H12" s="231"/>
      <c r="I12" s="344">
        <v>5</v>
      </c>
      <c r="J12" s="345"/>
      <c r="K12" s="232" t="s">
        <v>12</v>
      </c>
      <c r="L12" s="233"/>
      <c r="M12" s="344"/>
      <c r="N12" s="344"/>
      <c r="O12" s="216"/>
      <c r="P12" s="217"/>
      <c r="Q12" s="217"/>
      <c r="R12" s="217"/>
      <c r="S12" s="217"/>
    </row>
    <row r="13" spans="1:20" s="218" customFormat="1" ht="18.600000000000001" thickBot="1" x14ac:dyDescent="0.3">
      <c r="A13" s="180"/>
      <c r="B13" s="234" t="s">
        <v>156</v>
      </c>
      <c r="C13" s="14"/>
      <c r="D13" s="233"/>
      <c r="E13" s="233"/>
      <c r="F13" s="233"/>
      <c r="G13" s="235" t="s">
        <v>157</v>
      </c>
      <c r="H13" s="213"/>
      <c r="I13" s="213"/>
      <c r="J13" s="213"/>
      <c r="K13" s="215"/>
      <c r="L13" s="213"/>
      <c r="M13" s="213"/>
      <c r="N13" s="213"/>
      <c r="O13" s="216"/>
      <c r="P13" s="217"/>
      <c r="Q13" s="217"/>
      <c r="R13" s="217"/>
      <c r="S13" s="217"/>
    </row>
    <row r="14" spans="1:20" s="218" customFormat="1" ht="18.600000000000001" thickBot="1" x14ac:dyDescent="0.3">
      <c r="A14" s="180"/>
      <c r="B14" s="236" t="s">
        <v>13</v>
      </c>
      <c r="C14" s="237"/>
      <c r="D14" s="237"/>
      <c r="E14" s="346"/>
      <c r="F14" s="346"/>
      <c r="G14" s="347"/>
      <c r="H14" s="238" t="s">
        <v>14</v>
      </c>
      <c r="I14" s="239"/>
      <c r="J14" s="239"/>
      <c r="K14" s="346"/>
      <c r="L14" s="346"/>
      <c r="M14" s="239"/>
      <c r="N14" s="239"/>
      <c r="O14" s="216"/>
      <c r="P14" s="217"/>
      <c r="Q14" s="217"/>
      <c r="R14" s="217"/>
      <c r="S14" s="217"/>
    </row>
    <row r="15" spans="1:20" s="218" customFormat="1" ht="18.600000000000001" thickBot="1" x14ac:dyDescent="0.3">
      <c r="A15" s="180"/>
      <c r="B15" s="209" t="s">
        <v>15</v>
      </c>
      <c r="C15" s="210"/>
      <c r="D15" s="210"/>
      <c r="E15" s="346"/>
      <c r="F15" s="346"/>
      <c r="G15" s="347"/>
      <c r="H15" s="211" t="s">
        <v>16</v>
      </c>
      <c r="I15" s="210"/>
      <c r="J15" s="210"/>
      <c r="K15" s="346"/>
      <c r="L15" s="346"/>
      <c r="M15" s="210"/>
      <c r="N15" s="210"/>
      <c r="O15" s="216"/>
      <c r="P15" s="217"/>
      <c r="Q15" s="217"/>
      <c r="R15" s="217"/>
      <c r="S15" s="217"/>
    </row>
    <row r="16" spans="1:20" s="241" customFormat="1" ht="18.600000000000001" thickBot="1" x14ac:dyDescent="0.3">
      <c r="A16" s="180" t="e">
        <f>IFERROR(IF(SEARCH(“*Yes*”,'Crew Report'!I26,1),””),”No”)</f>
        <v>#NAME?</v>
      </c>
      <c r="B16" s="176" t="s">
        <v>17</v>
      </c>
      <c r="C16" s="177"/>
      <c r="D16" s="177"/>
      <c r="E16" s="177"/>
      <c r="F16" s="177"/>
      <c r="G16" s="177"/>
      <c r="H16" s="177"/>
      <c r="I16" s="296"/>
      <c r="J16" s="177"/>
      <c r="K16" s="177"/>
      <c r="L16" s="178"/>
      <c r="M16" s="229"/>
      <c r="N16" s="229"/>
      <c r="O16" s="216"/>
      <c r="P16" s="240"/>
      <c r="Q16" s="240"/>
      <c r="R16" s="240"/>
      <c r="S16" s="240"/>
    </row>
    <row r="17" spans="1:19" s="241" customFormat="1" ht="18.600000000000001" thickBot="1" x14ac:dyDescent="0.3">
      <c r="A17" s="180"/>
      <c r="B17" s="183" t="s">
        <v>18</v>
      </c>
      <c r="C17" s="213"/>
      <c r="D17" s="213"/>
      <c r="E17" s="213"/>
      <c r="F17" s="213"/>
      <c r="G17" s="213"/>
      <c r="H17" s="213"/>
      <c r="I17" s="213"/>
      <c r="J17" s="213"/>
      <c r="K17" s="14"/>
      <c r="L17" s="213"/>
      <c r="M17" s="213"/>
      <c r="N17" s="213"/>
      <c r="O17" s="216"/>
      <c r="P17" s="240"/>
      <c r="Q17" s="240"/>
      <c r="R17" s="240"/>
      <c r="S17" s="240"/>
    </row>
    <row r="18" spans="1:19" s="241" customFormat="1" ht="18.600000000000001" thickBot="1" x14ac:dyDescent="0.3">
      <c r="A18" s="180"/>
      <c r="B18" s="183" t="s">
        <v>19</v>
      </c>
      <c r="C18" s="213"/>
      <c r="D18" s="213"/>
      <c r="E18" s="213"/>
      <c r="F18" s="213"/>
      <c r="G18" s="213"/>
      <c r="H18" s="213"/>
      <c r="I18" s="213"/>
      <c r="J18" s="213"/>
      <c r="K18" s="14"/>
      <c r="L18" s="213"/>
      <c r="M18" s="213"/>
      <c r="N18" s="213"/>
      <c r="O18" s="216"/>
      <c r="P18" s="240"/>
      <c r="Q18" s="240"/>
      <c r="R18" s="240"/>
      <c r="S18" s="240"/>
    </row>
    <row r="19" spans="1:19" s="241" customFormat="1" ht="18.600000000000001" thickBot="1" x14ac:dyDescent="0.3">
      <c r="A19" s="180"/>
      <c r="B19" s="183" t="s">
        <v>20</v>
      </c>
      <c r="C19" s="213"/>
      <c r="D19" s="213"/>
      <c r="E19" s="213"/>
      <c r="F19" s="213"/>
      <c r="G19" s="213"/>
      <c r="H19" s="213"/>
      <c r="I19" s="213"/>
      <c r="J19" s="213"/>
      <c r="K19" s="14"/>
      <c r="L19" s="213"/>
      <c r="M19" s="213"/>
      <c r="N19" s="213"/>
      <c r="O19" s="216"/>
      <c r="P19" s="240"/>
      <c r="Q19" s="240"/>
      <c r="R19" s="240"/>
      <c r="S19" s="240"/>
    </row>
    <row r="20" spans="1:19" s="241" customFormat="1" ht="18.600000000000001" thickBot="1" x14ac:dyDescent="0.3">
      <c r="A20" s="180"/>
      <c r="B20" s="183" t="s">
        <v>21</v>
      </c>
      <c r="C20" s="213"/>
      <c r="D20" s="213"/>
      <c r="E20" s="213"/>
      <c r="F20" s="213"/>
      <c r="G20" s="213"/>
      <c r="H20" s="213"/>
      <c r="I20" s="213"/>
      <c r="J20" s="213"/>
      <c r="K20" s="14"/>
      <c r="L20" s="213"/>
      <c r="M20" s="213"/>
      <c r="N20" s="213"/>
      <c r="O20" s="216"/>
      <c r="P20" s="240"/>
      <c r="Q20" s="240"/>
      <c r="R20" s="240"/>
      <c r="S20" s="240"/>
    </row>
    <row r="21" spans="1:19" s="241" customFormat="1" ht="18.600000000000001" thickBot="1" x14ac:dyDescent="0.3">
      <c r="A21" s="180"/>
      <c r="B21" s="183" t="s">
        <v>22</v>
      </c>
      <c r="C21" s="213"/>
      <c r="D21" s="213"/>
      <c r="E21" s="213"/>
      <c r="F21" s="213"/>
      <c r="G21" s="213"/>
      <c r="H21" s="213"/>
      <c r="I21" s="213"/>
      <c r="J21" s="213"/>
      <c r="K21" s="14"/>
      <c r="L21" s="213"/>
      <c r="M21" s="213"/>
      <c r="N21" s="213"/>
      <c r="O21" s="216"/>
      <c r="P21" s="240"/>
      <c r="Q21" s="240"/>
      <c r="R21" s="240"/>
      <c r="S21" s="240"/>
    </row>
    <row r="22" spans="1:19" s="241" customFormat="1" ht="18.600000000000001" thickBot="1" x14ac:dyDescent="0.3">
      <c r="A22" s="180"/>
      <c r="B22" s="242" t="s">
        <v>23</v>
      </c>
      <c r="C22" s="213"/>
      <c r="D22" s="213"/>
      <c r="E22" s="213"/>
      <c r="F22" s="213"/>
      <c r="G22" s="213"/>
      <c r="H22" s="213"/>
      <c r="I22" s="213"/>
      <c r="J22" s="213"/>
      <c r="K22" s="213"/>
      <c r="L22" s="213"/>
      <c r="M22" s="14"/>
      <c r="N22" s="213"/>
      <c r="O22" s="216"/>
      <c r="P22" s="240"/>
      <c r="Q22" s="240"/>
      <c r="R22" s="240"/>
      <c r="S22" s="240"/>
    </row>
    <row r="23" spans="1:19" s="241" customFormat="1" ht="18.600000000000001" thickBot="1" x14ac:dyDescent="0.3">
      <c r="A23" s="180"/>
      <c r="B23" s="212" t="s">
        <v>24</v>
      </c>
      <c r="C23" s="213"/>
      <c r="D23" s="213"/>
      <c r="E23" s="213"/>
      <c r="F23" s="213"/>
      <c r="G23" s="213"/>
      <c r="H23" s="213"/>
      <c r="I23" s="213"/>
      <c r="J23" s="213"/>
      <c r="K23" s="213"/>
      <c r="L23" s="213"/>
      <c r="M23" s="14"/>
      <c r="N23" s="213"/>
      <c r="O23" s="216"/>
      <c r="P23" s="240"/>
      <c r="Q23" s="240"/>
      <c r="R23" s="240"/>
      <c r="S23" s="240"/>
    </row>
    <row r="24" spans="1:19" s="241" customFormat="1" ht="18.600000000000001" thickBot="1" x14ac:dyDescent="0.3">
      <c r="A24" s="180"/>
      <c r="B24" s="181" t="s">
        <v>158</v>
      </c>
      <c r="C24" s="213"/>
      <c r="D24" s="213"/>
      <c r="G24" s="213"/>
      <c r="H24" s="213"/>
      <c r="I24" s="213"/>
      <c r="J24" s="344"/>
      <c r="K24" s="344"/>
      <c r="N24" s="213"/>
      <c r="O24" s="216"/>
      <c r="P24" s="240"/>
      <c r="Q24" s="240"/>
      <c r="R24" s="240"/>
      <c r="S24" s="240"/>
    </row>
    <row r="25" spans="1:19" s="241" customFormat="1" ht="18.600000000000001" thickBot="1" x14ac:dyDescent="0.3">
      <c r="A25" s="180"/>
      <c r="B25" s="212" t="s">
        <v>25</v>
      </c>
      <c r="C25" s="213"/>
      <c r="D25" s="213"/>
      <c r="E25" s="213"/>
      <c r="F25" s="213"/>
      <c r="G25" s="213"/>
      <c r="H25" s="213"/>
      <c r="I25" s="207"/>
      <c r="J25" s="213"/>
      <c r="K25" s="213"/>
      <c r="L25" s="213"/>
      <c r="M25" s="213"/>
      <c r="N25" s="213"/>
      <c r="O25" s="216"/>
      <c r="P25" s="240"/>
      <c r="Q25" s="240"/>
      <c r="R25" s="240"/>
      <c r="S25" s="240"/>
    </row>
    <row r="26" spans="1:19" s="241" customFormat="1" ht="18.600000000000001" thickBot="1" x14ac:dyDescent="0.3">
      <c r="A26" s="180"/>
      <c r="B26" s="212" t="s">
        <v>87</v>
      </c>
      <c r="C26" s="213"/>
      <c r="D26" s="213"/>
      <c r="E26" s="213"/>
      <c r="F26" s="213"/>
      <c r="G26" s="213"/>
      <c r="H26" s="213"/>
      <c r="I26" s="14"/>
      <c r="J26" s="213"/>
      <c r="K26" s="213"/>
      <c r="L26" s="213"/>
      <c r="M26" s="213"/>
      <c r="N26" s="213"/>
      <c r="O26" s="216"/>
      <c r="P26" s="240"/>
      <c r="Q26" s="240"/>
      <c r="R26" s="240"/>
      <c r="S26" s="240"/>
    </row>
    <row r="27" spans="1:19" s="241" customFormat="1" ht="24" thickBot="1" x14ac:dyDescent="0.3">
      <c r="A27" s="180"/>
      <c r="B27" s="339" t="s">
        <v>26</v>
      </c>
      <c r="C27" s="340"/>
      <c r="D27" s="340"/>
      <c r="E27" s="340"/>
      <c r="F27" s="340"/>
      <c r="G27" s="340"/>
      <c r="H27" s="340"/>
      <c r="I27" s="340"/>
      <c r="J27" s="340"/>
      <c r="K27" s="340"/>
      <c r="L27" s="340"/>
      <c r="M27" s="340"/>
      <c r="N27" s="340"/>
      <c r="O27" s="186"/>
      <c r="P27" s="240"/>
      <c r="Q27" s="240"/>
      <c r="R27" s="240"/>
      <c r="S27" s="240"/>
    </row>
    <row r="28" spans="1:19" s="241" customFormat="1" ht="15" thickBot="1" x14ac:dyDescent="0.3">
      <c r="A28" s="180"/>
      <c r="B28" s="297" t="s">
        <v>27</v>
      </c>
      <c r="C28" s="341"/>
      <c r="D28" s="297" t="s">
        <v>28</v>
      </c>
      <c r="E28" s="340"/>
      <c r="F28" s="340"/>
      <c r="G28" s="341"/>
      <c r="H28" s="297" t="s">
        <v>27</v>
      </c>
      <c r="I28" s="341"/>
      <c r="J28" s="297" t="s">
        <v>28</v>
      </c>
      <c r="K28" s="340"/>
      <c r="L28" s="340"/>
      <c r="M28" s="340"/>
      <c r="N28" s="340"/>
      <c r="O28" s="186"/>
      <c r="P28" s="240"/>
      <c r="Q28" s="240"/>
      <c r="R28" s="240"/>
      <c r="S28" s="240"/>
    </row>
    <row r="29" spans="1:19" s="241" customFormat="1" ht="18.600000000000001" thickBot="1" x14ac:dyDescent="0.3">
      <c r="A29" s="180"/>
      <c r="B29" s="324"/>
      <c r="C29" s="325"/>
      <c r="D29" s="321"/>
      <c r="E29" s="322"/>
      <c r="F29" s="322"/>
      <c r="G29" s="323"/>
      <c r="H29" s="324"/>
      <c r="I29" s="325"/>
      <c r="J29" s="348"/>
      <c r="K29" s="349"/>
      <c r="L29" s="349"/>
      <c r="M29" s="349"/>
      <c r="N29" s="349"/>
      <c r="O29" s="186"/>
      <c r="P29" s="240"/>
      <c r="Q29" s="240"/>
      <c r="R29" s="240"/>
      <c r="S29" s="240"/>
    </row>
    <row r="30" spans="1:19" s="241" customFormat="1" ht="18.600000000000001" thickBot="1" x14ac:dyDescent="0.3">
      <c r="A30" s="180"/>
      <c r="B30" s="324"/>
      <c r="C30" s="325"/>
      <c r="D30" s="321"/>
      <c r="E30" s="322"/>
      <c r="F30" s="322"/>
      <c r="G30" s="323"/>
      <c r="H30" s="324"/>
      <c r="I30" s="325"/>
      <c r="J30" s="348"/>
      <c r="K30" s="349"/>
      <c r="L30" s="349"/>
      <c r="M30" s="349"/>
      <c r="N30" s="349"/>
      <c r="O30" s="186"/>
      <c r="P30" s="240"/>
      <c r="Q30" s="240"/>
      <c r="R30" s="240"/>
      <c r="S30" s="240"/>
    </row>
    <row r="31" spans="1:19" s="241" customFormat="1" ht="18.600000000000001" thickBot="1" x14ac:dyDescent="0.3">
      <c r="A31" s="180"/>
      <c r="B31" s="324"/>
      <c r="C31" s="325"/>
      <c r="D31" s="321"/>
      <c r="E31" s="322"/>
      <c r="F31" s="322"/>
      <c r="G31" s="323"/>
      <c r="H31" s="243" t="s">
        <v>88</v>
      </c>
      <c r="I31" s="244"/>
      <c r="J31" s="243" t="s">
        <v>2</v>
      </c>
      <c r="K31" s="245" t="s">
        <v>89</v>
      </c>
      <c r="L31" s="186"/>
      <c r="M31" s="179" t="s">
        <v>2</v>
      </c>
      <c r="N31" s="245"/>
      <c r="O31" s="186"/>
      <c r="P31" s="240"/>
      <c r="Q31" s="240"/>
      <c r="R31" s="240"/>
      <c r="S31" s="240"/>
    </row>
    <row r="32" spans="1:19" s="241" customFormat="1" ht="18.600000000000001" thickBot="1" x14ac:dyDescent="0.3">
      <c r="A32" s="180"/>
      <c r="B32" s="324"/>
      <c r="C32" s="325"/>
      <c r="D32" s="321"/>
      <c r="E32" s="322"/>
      <c r="F32" s="322"/>
      <c r="G32" s="323"/>
      <c r="H32" s="246" t="s">
        <v>29</v>
      </c>
      <c r="I32" s="185"/>
      <c r="J32" s="185"/>
      <c r="K32" s="185"/>
      <c r="L32" s="185"/>
      <c r="M32" s="185"/>
      <c r="N32" s="185"/>
      <c r="O32" s="186"/>
      <c r="P32" s="240"/>
      <c r="Q32" s="240"/>
      <c r="R32" s="240"/>
      <c r="S32" s="240"/>
    </row>
    <row r="33" spans="1:21" s="241" customFormat="1" ht="18.600000000000001" thickBot="1" x14ac:dyDescent="0.3">
      <c r="A33" s="180"/>
      <c r="B33" s="324"/>
      <c r="C33" s="325"/>
      <c r="D33" s="321"/>
      <c r="E33" s="322"/>
      <c r="F33" s="322"/>
      <c r="G33" s="323"/>
      <c r="H33" s="216"/>
      <c r="I33" s="216"/>
      <c r="J33" s="216"/>
      <c r="K33" s="216"/>
      <c r="L33" s="216"/>
      <c r="M33" s="216"/>
      <c r="N33" s="216"/>
      <c r="O33" s="186"/>
      <c r="P33" s="240"/>
      <c r="Q33" s="240"/>
      <c r="R33" s="240"/>
      <c r="S33" s="240"/>
    </row>
    <row r="34" spans="1:21" s="241" customFormat="1" ht="15" thickBot="1" x14ac:dyDescent="0.3">
      <c r="A34" s="180"/>
      <c r="B34" s="247" t="s">
        <v>30</v>
      </c>
      <c r="C34" s="248"/>
      <c r="D34" s="248"/>
      <c r="E34" s="249" t="s">
        <v>31</v>
      </c>
      <c r="F34" s="250" t="s">
        <v>32</v>
      </c>
      <c r="G34" s="250" t="s">
        <v>33</v>
      </c>
      <c r="H34" s="247" t="s">
        <v>30</v>
      </c>
      <c r="I34" s="248"/>
      <c r="J34" s="248"/>
      <c r="K34" s="249" t="s">
        <v>31</v>
      </c>
      <c r="L34" s="250" t="s">
        <v>32</v>
      </c>
      <c r="M34" s="297" t="s">
        <v>33</v>
      </c>
      <c r="N34" s="298"/>
      <c r="O34" s="186"/>
      <c r="P34" s="240"/>
      <c r="Q34" s="240"/>
      <c r="R34" s="240"/>
      <c r="S34" s="240"/>
    </row>
    <row r="35" spans="1:21" s="241" customFormat="1" ht="18.600000000000001" thickBot="1" x14ac:dyDescent="0.3">
      <c r="A35" s="180"/>
      <c r="B35" s="303"/>
      <c r="C35" s="304"/>
      <c r="D35" s="305"/>
      <c r="E35" s="251"/>
      <c r="F35" s="252"/>
      <c r="G35" s="253"/>
      <c r="H35" s="303"/>
      <c r="I35" s="304"/>
      <c r="J35" s="305"/>
      <c r="K35" s="254"/>
      <c r="L35" s="255"/>
      <c r="M35" s="299"/>
      <c r="N35" s="300"/>
      <c r="O35" s="186"/>
      <c r="P35" s="240"/>
      <c r="Q35" s="240"/>
      <c r="R35" s="240"/>
      <c r="S35" s="240"/>
    </row>
    <row r="36" spans="1:21" s="241" customFormat="1" ht="18.600000000000001" thickBot="1" x14ac:dyDescent="0.3">
      <c r="A36" s="180"/>
      <c r="B36" s="303"/>
      <c r="C36" s="304"/>
      <c r="D36" s="305"/>
      <c r="E36" s="251"/>
      <c r="F36" s="252"/>
      <c r="G36" s="253"/>
      <c r="H36" s="303"/>
      <c r="I36" s="304"/>
      <c r="J36" s="305"/>
      <c r="K36" s="254"/>
      <c r="L36" s="255"/>
      <c r="M36" s="299"/>
      <c r="N36" s="300"/>
      <c r="O36" s="186"/>
      <c r="P36" s="240"/>
      <c r="Q36" s="240"/>
      <c r="R36" s="240"/>
      <c r="S36" s="240"/>
      <c r="T36" s="241">
        <f>SUMPRODUCT(--ISTEXT(rng))</f>
        <v>0</v>
      </c>
    </row>
    <row r="37" spans="1:21" s="241" customFormat="1" ht="18.600000000000001" thickBot="1" x14ac:dyDescent="0.3">
      <c r="A37" s="180"/>
      <c r="B37" s="303"/>
      <c r="C37" s="304"/>
      <c r="D37" s="305"/>
      <c r="E37" s="251"/>
      <c r="F37" s="252"/>
      <c r="G37" s="253"/>
      <c r="H37" s="303"/>
      <c r="I37" s="304"/>
      <c r="J37" s="305"/>
      <c r="K37" s="254"/>
      <c r="L37" s="255"/>
      <c r="M37" s="299"/>
      <c r="N37" s="300"/>
      <c r="O37" s="186"/>
      <c r="P37" s="240"/>
      <c r="Q37" s="240"/>
      <c r="R37" s="240"/>
      <c r="S37" s="240"/>
      <c r="U37" s="241">
        <f>COUNTIF(B35:D40,"*")</f>
        <v>0</v>
      </c>
    </row>
    <row r="38" spans="1:21" s="241" customFormat="1" ht="18.600000000000001" thickBot="1" x14ac:dyDescent="0.3">
      <c r="A38" s="180"/>
      <c r="B38" s="303"/>
      <c r="C38" s="304"/>
      <c r="D38" s="305"/>
      <c r="E38" s="254"/>
      <c r="F38" s="253"/>
      <c r="G38" s="253"/>
      <c r="H38" s="303"/>
      <c r="I38" s="304"/>
      <c r="J38" s="305"/>
      <c r="K38" s="256"/>
      <c r="L38" s="257"/>
      <c r="M38" s="299"/>
      <c r="N38" s="300"/>
      <c r="O38" s="186"/>
      <c r="P38" s="240"/>
      <c r="Q38" s="240"/>
      <c r="R38" s="240"/>
      <c r="S38" s="240"/>
      <c r="U38" s="241">
        <f>COUNTIF(H35:J38,"*")</f>
        <v>0</v>
      </c>
    </row>
    <row r="39" spans="1:21" s="241" customFormat="1" ht="18.600000000000001" thickBot="1" x14ac:dyDescent="0.3">
      <c r="A39" s="180"/>
      <c r="B39" s="303"/>
      <c r="C39" s="304"/>
      <c r="D39" s="305"/>
      <c r="E39" s="254"/>
      <c r="F39" s="253"/>
      <c r="G39" s="253"/>
      <c r="H39" s="258"/>
      <c r="I39" s="255"/>
      <c r="J39" s="255"/>
      <c r="K39" s="255"/>
      <c r="L39" s="255"/>
      <c r="M39" s="255"/>
      <c r="N39" s="185"/>
      <c r="O39" s="186"/>
      <c r="P39" s="240"/>
      <c r="Q39" s="240"/>
      <c r="R39" s="240"/>
      <c r="S39" s="240"/>
      <c r="U39" s="241">
        <f>SUM(U37:U38)</f>
        <v>0</v>
      </c>
    </row>
    <row r="40" spans="1:21" s="241" customFormat="1" ht="18.600000000000001" thickBot="1" x14ac:dyDescent="0.3">
      <c r="A40" s="180"/>
      <c r="B40" s="303"/>
      <c r="C40" s="304"/>
      <c r="D40" s="305"/>
      <c r="E40" s="254"/>
      <c r="F40" s="253"/>
      <c r="G40" s="253"/>
      <c r="H40" s="206"/>
      <c r="I40" s="259"/>
      <c r="J40" s="259"/>
      <c r="K40" s="259"/>
      <c r="L40" s="259"/>
      <c r="M40" s="259"/>
      <c r="N40" s="260"/>
      <c r="O40" s="186"/>
      <c r="P40" s="240"/>
      <c r="Q40" s="240"/>
      <c r="R40" s="240"/>
      <c r="S40" s="240"/>
    </row>
    <row r="41" spans="1:21" s="241" customFormat="1" ht="26.4" thickBot="1" x14ac:dyDescent="0.3">
      <c r="A41" s="180"/>
      <c r="B41" s="234"/>
      <c r="C41" s="261"/>
      <c r="D41" s="261"/>
      <c r="E41" s="216"/>
      <c r="F41" s="216"/>
      <c r="G41" s="216"/>
      <c r="H41" s="216"/>
      <c r="I41" s="216"/>
      <c r="J41" s="216"/>
      <c r="K41" s="216"/>
      <c r="L41" s="216"/>
      <c r="M41" s="216"/>
      <c r="N41" s="216"/>
      <c r="O41" s="186"/>
      <c r="P41" s="240"/>
      <c r="Q41" s="240"/>
      <c r="R41" s="240"/>
      <c r="S41" s="240"/>
    </row>
    <row r="42" spans="1:21" s="241" customFormat="1" ht="18.600000000000001" thickBot="1" x14ac:dyDescent="0.3">
      <c r="A42" s="180"/>
      <c r="B42" s="181" t="s">
        <v>34</v>
      </c>
      <c r="C42" s="182"/>
      <c r="D42" s="182"/>
      <c r="E42" s="195"/>
      <c r="F42" s="182"/>
      <c r="G42" s="182"/>
      <c r="H42" s="183" t="s">
        <v>35</v>
      </c>
      <c r="I42" s="184"/>
      <c r="J42" s="185"/>
      <c r="K42" s="196"/>
      <c r="L42" s="185"/>
      <c r="M42" s="185"/>
      <c r="N42" s="185"/>
      <c r="O42" s="186"/>
      <c r="P42" s="240"/>
      <c r="Q42" s="240"/>
      <c r="R42" s="240"/>
      <c r="S42" s="240"/>
    </row>
    <row r="43" spans="1:21" s="241" customFormat="1" x14ac:dyDescent="0.25">
      <c r="A43" s="180"/>
      <c r="B43" s="262"/>
      <c r="C43" s="263"/>
      <c r="D43" s="263"/>
      <c r="E43" s="263"/>
      <c r="F43" s="263"/>
      <c r="G43" s="263"/>
      <c r="H43" s="263"/>
      <c r="I43" s="263"/>
      <c r="J43" s="263"/>
      <c r="K43" s="263"/>
      <c r="L43" s="263"/>
      <c r="M43" s="263"/>
      <c r="N43" s="263"/>
      <c r="O43" s="186"/>
      <c r="P43" s="240"/>
      <c r="Q43" s="240"/>
      <c r="R43" s="240"/>
      <c r="S43" s="240"/>
    </row>
    <row r="44" spans="1:21" s="241" customFormat="1" ht="15" thickBot="1" x14ac:dyDescent="0.3">
      <c r="A44" s="216"/>
      <c r="B44" s="264" t="s">
        <v>36</v>
      </c>
      <c r="C44" s="260"/>
      <c r="D44" s="260"/>
      <c r="E44" s="260"/>
      <c r="F44" s="260"/>
      <c r="G44" s="260" t="s">
        <v>37</v>
      </c>
      <c r="H44" s="260"/>
      <c r="I44" s="260"/>
      <c r="J44" s="260"/>
      <c r="K44" s="260"/>
      <c r="L44" s="260"/>
      <c r="M44" s="260"/>
      <c r="N44" s="260"/>
      <c r="O44" s="186"/>
      <c r="P44" s="240"/>
      <c r="Q44" s="240"/>
      <c r="R44" s="240"/>
      <c r="S44" s="240"/>
    </row>
    <row r="45" spans="1:21" s="241" customFormat="1" ht="15" thickBot="1" x14ac:dyDescent="0.3">
      <c r="A45" s="216"/>
      <c r="B45" s="265"/>
      <c r="C45" s="216"/>
      <c r="D45" s="216"/>
      <c r="E45" s="216"/>
      <c r="F45" s="216"/>
      <c r="G45" s="216"/>
      <c r="H45" s="216"/>
      <c r="I45" s="216"/>
      <c r="J45" s="216"/>
      <c r="K45" s="216"/>
      <c r="L45" s="216"/>
      <c r="M45" s="216"/>
      <c r="N45" s="216"/>
      <c r="O45" s="186"/>
      <c r="P45" s="240"/>
      <c r="Q45" s="240"/>
      <c r="R45" s="240"/>
      <c r="S45" s="240"/>
    </row>
    <row r="46" spans="1:21" s="241" customFormat="1" x14ac:dyDescent="0.25">
      <c r="A46" s="216"/>
      <c r="B46" s="262"/>
      <c r="C46" s="263"/>
      <c r="D46" s="263"/>
      <c r="E46" s="263"/>
      <c r="F46" s="263"/>
      <c r="G46" s="263"/>
      <c r="H46" s="263"/>
      <c r="I46" s="263"/>
      <c r="J46" s="263"/>
      <c r="K46" s="263"/>
      <c r="L46" s="263"/>
      <c r="M46" s="263"/>
      <c r="N46" s="263"/>
      <c r="O46" s="216"/>
      <c r="P46" s="240"/>
      <c r="Q46" s="240"/>
      <c r="R46" s="240"/>
      <c r="S46" s="240"/>
    </row>
    <row r="47" spans="1:21" s="241" customFormat="1" x14ac:dyDescent="0.25">
      <c r="A47" s="180"/>
      <c r="B47" s="180"/>
      <c r="C47" s="216"/>
      <c r="D47" s="216"/>
      <c r="E47" s="216"/>
      <c r="F47" s="216"/>
      <c r="G47" s="216"/>
      <c r="H47" s="266" t="s">
        <v>3</v>
      </c>
      <c r="I47" s="315"/>
      <c r="J47" s="315"/>
      <c r="K47" s="315"/>
      <c r="L47" s="216"/>
      <c r="M47" s="216"/>
      <c r="N47" s="216"/>
      <c r="O47" s="186"/>
      <c r="P47" s="240"/>
      <c r="Q47" s="240"/>
      <c r="R47" s="240"/>
      <c r="S47" s="240"/>
    </row>
    <row r="48" spans="1:21" s="241" customFormat="1" x14ac:dyDescent="0.25">
      <c r="A48" s="180"/>
      <c r="B48" s="180"/>
      <c r="C48" s="216"/>
      <c r="D48" s="216"/>
      <c r="E48" s="216"/>
      <c r="F48" s="216"/>
      <c r="G48" s="216"/>
      <c r="H48" s="216"/>
      <c r="I48" s="216"/>
      <c r="J48" s="216"/>
      <c r="K48" s="216"/>
      <c r="L48" s="216"/>
      <c r="M48" s="216"/>
      <c r="N48" s="216"/>
      <c r="O48" s="186"/>
      <c r="P48" s="240"/>
      <c r="Q48" s="240"/>
      <c r="R48" s="240"/>
      <c r="S48" s="240"/>
    </row>
    <row r="49" spans="1:19" s="241" customFormat="1" x14ac:dyDescent="0.25">
      <c r="A49" s="180"/>
      <c r="B49" s="180"/>
      <c r="C49" s="216"/>
      <c r="D49" s="216"/>
      <c r="E49" s="216"/>
      <c r="F49" s="216"/>
      <c r="G49" s="216"/>
      <c r="H49" s="266" t="s">
        <v>38</v>
      </c>
      <c r="I49" s="266"/>
      <c r="J49" s="315"/>
      <c r="K49" s="315"/>
      <c r="L49" s="216"/>
      <c r="M49" s="216"/>
      <c r="N49" s="216"/>
      <c r="O49" s="186"/>
      <c r="P49" s="240"/>
      <c r="Q49" s="240"/>
      <c r="R49" s="240"/>
      <c r="S49" s="240"/>
    </row>
    <row r="50" spans="1:19" s="241" customFormat="1" x14ac:dyDescent="0.25">
      <c r="A50" s="180"/>
      <c r="B50" s="180"/>
      <c r="C50" s="216"/>
      <c r="D50" s="216"/>
      <c r="E50" s="216"/>
      <c r="F50" s="216"/>
      <c r="G50" s="216"/>
      <c r="H50" s="216"/>
      <c r="I50" s="216"/>
      <c r="J50" s="216"/>
      <c r="K50" s="216"/>
      <c r="L50" s="216"/>
      <c r="M50" s="216"/>
      <c r="N50" s="216"/>
      <c r="O50" s="186"/>
      <c r="P50" s="240"/>
      <c r="Q50" s="240"/>
      <c r="R50" s="240"/>
      <c r="S50" s="240"/>
    </row>
    <row r="51" spans="1:19" s="241" customFormat="1" ht="30.6" x14ac:dyDescent="0.25">
      <c r="A51" s="180"/>
      <c r="B51" s="180"/>
      <c r="C51" s="267"/>
      <c r="D51" s="216"/>
      <c r="E51" s="216"/>
      <c r="F51" s="216"/>
      <c r="G51" s="216"/>
      <c r="H51" s="216"/>
      <c r="I51" s="216"/>
      <c r="J51" s="216"/>
      <c r="K51" s="216"/>
      <c r="L51" s="216"/>
      <c r="M51" s="216"/>
      <c r="N51" s="216"/>
      <c r="O51" s="186"/>
      <c r="P51" s="240"/>
      <c r="Q51" s="240"/>
      <c r="R51" s="240"/>
      <c r="S51" s="240"/>
    </row>
    <row r="52" spans="1:19" s="241" customFormat="1" ht="18.600000000000001" thickBot="1" x14ac:dyDescent="0.3">
      <c r="A52" s="180"/>
      <c r="B52" s="242" t="s">
        <v>39</v>
      </c>
      <c r="C52" s="260"/>
      <c r="D52" s="260"/>
      <c r="E52" s="260"/>
      <c r="F52" s="260"/>
      <c r="G52" s="260"/>
      <c r="H52" s="260"/>
      <c r="I52" s="260"/>
      <c r="J52" s="260"/>
      <c r="K52" s="260"/>
      <c r="L52" s="260"/>
      <c r="M52" s="260"/>
      <c r="N52" s="260"/>
      <c r="O52" s="186"/>
      <c r="P52" s="240"/>
      <c r="Q52" s="240"/>
      <c r="R52" s="240"/>
      <c r="S52" s="240"/>
    </row>
    <row r="53" spans="1:19" s="241" customFormat="1" x14ac:dyDescent="0.25">
      <c r="A53" s="187"/>
      <c r="B53" s="306" t="s">
        <v>40</v>
      </c>
      <c r="C53" s="336"/>
      <c r="D53" s="306" t="s">
        <v>41</v>
      </c>
      <c r="E53" s="336"/>
      <c r="F53" s="306" t="s">
        <v>42</v>
      </c>
      <c r="G53" s="307"/>
      <c r="H53" s="306" t="s">
        <v>43</v>
      </c>
      <c r="I53" s="336"/>
      <c r="J53" s="306" t="s">
        <v>44</v>
      </c>
      <c r="K53" s="336"/>
      <c r="L53" s="306" t="s">
        <v>151</v>
      </c>
      <c r="M53" s="307"/>
      <c r="N53" s="307"/>
      <c r="O53" s="188"/>
      <c r="P53" s="240"/>
      <c r="Q53" s="240"/>
      <c r="R53" s="240"/>
      <c r="S53" s="240"/>
    </row>
    <row r="54" spans="1:19" s="241" customFormat="1" ht="15" thickBot="1" x14ac:dyDescent="0.3">
      <c r="A54" s="187"/>
      <c r="B54" s="333" t="s">
        <v>45</v>
      </c>
      <c r="C54" s="334"/>
      <c r="D54" s="333" t="s">
        <v>46</v>
      </c>
      <c r="E54" s="334"/>
      <c r="F54" s="333" t="s">
        <v>47</v>
      </c>
      <c r="G54" s="335"/>
      <c r="H54" s="333" t="s">
        <v>48</v>
      </c>
      <c r="I54" s="334"/>
      <c r="J54" s="333" t="s">
        <v>48</v>
      </c>
      <c r="K54" s="334"/>
      <c r="L54" s="308"/>
      <c r="M54" s="309"/>
      <c r="N54" s="309"/>
      <c r="O54" s="188"/>
      <c r="P54" s="240"/>
      <c r="Q54" s="240"/>
      <c r="R54" s="240"/>
      <c r="S54" s="240"/>
    </row>
    <row r="55" spans="1:19" s="241" customFormat="1" x14ac:dyDescent="0.25">
      <c r="A55" s="268"/>
      <c r="B55" s="326" t="s">
        <v>49</v>
      </c>
      <c r="C55" s="327"/>
      <c r="D55" s="269" t="s">
        <v>50</v>
      </c>
      <c r="E55" s="270"/>
      <c r="F55" s="269" t="s">
        <v>51</v>
      </c>
      <c r="G55" s="271"/>
      <c r="H55" s="326" t="s">
        <v>52</v>
      </c>
      <c r="I55" s="328"/>
      <c r="J55" s="329" t="s">
        <v>53</v>
      </c>
      <c r="K55" s="330"/>
      <c r="L55" s="331" t="s">
        <v>54</v>
      </c>
      <c r="M55" s="332"/>
      <c r="N55" s="332"/>
      <c r="O55" s="272"/>
      <c r="P55" s="240"/>
      <c r="Q55" s="240"/>
      <c r="R55" s="240"/>
      <c r="S55" s="240"/>
    </row>
    <row r="56" spans="1:19" s="241" customFormat="1" x14ac:dyDescent="0.25">
      <c r="A56" s="268"/>
      <c r="B56" s="301"/>
      <c r="C56" s="302"/>
      <c r="D56" s="301"/>
      <c r="E56" s="302"/>
      <c r="F56" s="301"/>
      <c r="G56" s="302"/>
      <c r="H56" s="301"/>
      <c r="I56" s="302"/>
      <c r="J56" s="301"/>
      <c r="K56" s="302"/>
      <c r="L56" s="319"/>
      <c r="M56" s="320"/>
      <c r="N56" s="320"/>
      <c r="O56" s="272"/>
      <c r="P56" s="240"/>
      <c r="Q56" s="240"/>
      <c r="R56" s="240"/>
      <c r="S56" s="240"/>
    </row>
    <row r="57" spans="1:19" s="241" customFormat="1" x14ac:dyDescent="0.25">
      <c r="A57" s="268"/>
      <c r="B57" s="301"/>
      <c r="C57" s="302"/>
      <c r="D57" s="301"/>
      <c r="E57" s="302"/>
      <c r="F57" s="301"/>
      <c r="G57" s="302"/>
      <c r="H57" s="301"/>
      <c r="I57" s="302"/>
      <c r="J57" s="301"/>
      <c r="K57" s="302"/>
      <c r="L57" s="319"/>
      <c r="M57" s="320"/>
      <c r="N57" s="320"/>
      <c r="O57" s="272"/>
      <c r="P57" s="240"/>
      <c r="Q57" s="240"/>
      <c r="R57" s="240"/>
      <c r="S57" s="240"/>
    </row>
    <row r="58" spans="1:19" s="241" customFormat="1" x14ac:dyDescent="0.25">
      <c r="A58" s="268"/>
      <c r="B58" s="301"/>
      <c r="C58" s="302"/>
      <c r="D58" s="301"/>
      <c r="E58" s="302"/>
      <c r="F58" s="301"/>
      <c r="G58" s="302"/>
      <c r="H58" s="301"/>
      <c r="I58" s="302"/>
      <c r="J58" s="301"/>
      <c r="K58" s="302"/>
      <c r="L58" s="319"/>
      <c r="M58" s="320"/>
      <c r="N58" s="320"/>
      <c r="O58" s="272"/>
      <c r="P58" s="240"/>
      <c r="Q58" s="240"/>
      <c r="R58" s="240"/>
      <c r="S58" s="240"/>
    </row>
    <row r="59" spans="1:19" s="241" customFormat="1" ht="15" thickBot="1" x14ac:dyDescent="0.3">
      <c r="A59" s="268"/>
      <c r="B59" s="268"/>
      <c r="C59" s="273"/>
      <c r="D59" s="273"/>
      <c r="E59" s="273"/>
      <c r="F59" s="273"/>
      <c r="G59" s="273"/>
      <c r="H59" s="273"/>
      <c r="I59" s="273"/>
      <c r="J59" s="273"/>
      <c r="K59" s="273"/>
      <c r="L59" s="273"/>
      <c r="M59" s="273"/>
      <c r="N59" s="273"/>
      <c r="O59" s="272"/>
      <c r="P59" s="240"/>
      <c r="Q59" s="240"/>
      <c r="R59" s="240"/>
      <c r="S59" s="240"/>
    </row>
    <row r="60" spans="1:19" s="241" customFormat="1" ht="18.600000000000001" thickBot="1" x14ac:dyDescent="0.3">
      <c r="A60" s="274"/>
      <c r="B60" s="275" t="s">
        <v>55</v>
      </c>
      <c r="C60" s="237"/>
      <c r="D60" s="237"/>
      <c r="E60" s="237"/>
      <c r="F60" s="14"/>
      <c r="G60" s="276"/>
      <c r="H60" s="245"/>
      <c r="I60" s="277" t="s">
        <v>56</v>
      </c>
      <c r="J60" s="237"/>
      <c r="K60" s="314"/>
      <c r="L60" s="314"/>
      <c r="M60" s="314"/>
      <c r="N60" s="237"/>
      <c r="O60" s="278"/>
      <c r="P60" s="240"/>
      <c r="Q60" s="240"/>
      <c r="R60" s="240"/>
      <c r="S60" s="240"/>
    </row>
    <row r="61" spans="1:19" s="241" customFormat="1" ht="18.600000000000001" thickBot="1" x14ac:dyDescent="0.3">
      <c r="A61" s="274"/>
      <c r="B61" s="275" t="s">
        <v>57</v>
      </c>
      <c r="C61" s="237"/>
      <c r="D61" s="237"/>
      <c r="E61" s="237"/>
      <c r="F61" s="279"/>
      <c r="G61" s="276"/>
      <c r="H61" s="245"/>
      <c r="I61" s="277"/>
      <c r="J61" s="237"/>
      <c r="K61" s="237"/>
      <c r="L61" s="237"/>
      <c r="M61" s="237"/>
      <c r="N61" s="237"/>
      <c r="O61" s="278"/>
      <c r="P61" s="240"/>
      <c r="Q61" s="240"/>
      <c r="R61" s="240"/>
      <c r="S61" s="240"/>
    </row>
    <row r="62" spans="1:19" s="241" customFormat="1" ht="18.600000000000001" thickBot="1" x14ac:dyDescent="0.3">
      <c r="A62" s="274"/>
      <c r="B62" s="275"/>
      <c r="C62" s="237"/>
      <c r="D62" s="237"/>
      <c r="E62" s="237"/>
      <c r="F62" s="237"/>
      <c r="G62" s="237"/>
      <c r="H62" s="237"/>
      <c r="I62" s="237"/>
      <c r="J62" s="237"/>
      <c r="K62" s="237"/>
      <c r="L62" s="237"/>
      <c r="M62" s="237"/>
      <c r="N62" s="237"/>
      <c r="O62" s="278"/>
      <c r="P62" s="240"/>
      <c r="Q62" s="240"/>
      <c r="R62" s="240"/>
      <c r="S62" s="240"/>
    </row>
    <row r="63" spans="1:19" s="241" customFormat="1" ht="18.600000000000001" thickBot="1" x14ac:dyDescent="0.3">
      <c r="A63" s="180"/>
      <c r="B63" s="183" t="s">
        <v>152</v>
      </c>
      <c r="C63" s="280"/>
      <c r="D63" s="210"/>
      <c r="E63" s="210"/>
      <c r="F63" s="210" t="s">
        <v>153</v>
      </c>
      <c r="G63" s="210"/>
      <c r="H63" s="210"/>
      <c r="I63" s="210"/>
      <c r="J63" s="210"/>
      <c r="K63" s="280"/>
      <c r="L63" s="210"/>
      <c r="M63" s="210"/>
      <c r="N63" s="210"/>
      <c r="O63" s="186"/>
      <c r="P63" s="240"/>
      <c r="Q63" s="240"/>
      <c r="R63" s="240"/>
      <c r="S63" s="240"/>
    </row>
    <row r="64" spans="1:19" s="241" customFormat="1" ht="18.600000000000001" thickBot="1" x14ac:dyDescent="0.3">
      <c r="A64" s="180"/>
      <c r="B64" s="281"/>
      <c r="C64" s="239"/>
      <c r="D64" s="239"/>
      <c r="E64" s="239"/>
      <c r="F64" s="239"/>
      <c r="G64" s="239"/>
      <c r="H64" s="239"/>
      <c r="I64" s="239"/>
      <c r="J64" s="239"/>
      <c r="K64" s="239"/>
      <c r="L64" s="239"/>
      <c r="M64" s="239"/>
      <c r="N64" s="239"/>
      <c r="O64" s="186"/>
      <c r="P64" s="240"/>
      <c r="Q64" s="240"/>
      <c r="R64" s="240"/>
      <c r="S64" s="240"/>
    </row>
    <row r="65" spans="1:37" s="241" customFormat="1" ht="18.600000000000001" thickBot="1" x14ac:dyDescent="0.3">
      <c r="A65" s="180"/>
      <c r="B65" s="183" t="s">
        <v>58</v>
      </c>
      <c r="C65" s="210"/>
      <c r="D65" s="210"/>
      <c r="E65" s="314"/>
      <c r="F65" s="314"/>
      <c r="G65" s="314"/>
      <c r="H65" s="314"/>
      <c r="I65" s="314"/>
      <c r="J65" s="314"/>
      <c r="K65" s="314"/>
      <c r="L65" s="314"/>
      <c r="M65" s="314"/>
      <c r="N65" s="314"/>
      <c r="O65" s="186"/>
      <c r="P65" s="240"/>
      <c r="Q65" s="240"/>
      <c r="R65" s="240"/>
      <c r="S65" s="240"/>
    </row>
    <row r="66" spans="1:37" s="241" customFormat="1" ht="18.600000000000001" thickBot="1" x14ac:dyDescent="0.3">
      <c r="A66" s="180"/>
      <c r="B66" s="183" t="s">
        <v>59</v>
      </c>
      <c r="C66" s="210"/>
      <c r="D66" s="210"/>
      <c r="E66" s="314"/>
      <c r="F66" s="314"/>
      <c r="G66" s="314"/>
      <c r="H66" s="314"/>
      <c r="I66" s="314"/>
      <c r="J66" s="314"/>
      <c r="K66" s="314"/>
      <c r="L66" s="314"/>
      <c r="M66" s="314"/>
      <c r="N66" s="314"/>
      <c r="O66" s="186"/>
      <c r="P66" s="240"/>
      <c r="Q66" s="240"/>
      <c r="R66" s="240"/>
      <c r="S66" s="282"/>
      <c r="T66" s="283"/>
      <c r="U66" s="283"/>
      <c r="V66" s="283"/>
      <c r="W66" s="283"/>
      <c r="X66" s="283"/>
      <c r="Y66" s="283"/>
      <c r="Z66" s="283"/>
      <c r="AA66" s="283"/>
      <c r="AB66" s="283"/>
      <c r="AC66" s="283"/>
      <c r="AD66" s="283"/>
      <c r="AE66" s="283"/>
      <c r="AF66" s="283"/>
      <c r="AG66" s="283"/>
      <c r="AH66" s="283"/>
      <c r="AI66" s="283"/>
      <c r="AJ66" s="283"/>
      <c r="AK66" s="283"/>
    </row>
    <row r="67" spans="1:37" s="241" customFormat="1" ht="18.600000000000001" thickBot="1" x14ac:dyDescent="0.3">
      <c r="A67" s="180"/>
      <c r="B67" s="183" t="s">
        <v>60</v>
      </c>
      <c r="C67" s="210"/>
      <c r="D67" s="210"/>
      <c r="E67" s="210"/>
      <c r="F67" s="210"/>
      <c r="G67" s="14"/>
      <c r="H67" s="284" t="s">
        <v>154</v>
      </c>
      <c r="I67" s="285"/>
      <c r="J67" s="210"/>
      <c r="K67" s="210"/>
      <c r="L67" s="210"/>
      <c r="M67" s="210"/>
      <c r="N67" s="210"/>
      <c r="O67" s="186"/>
      <c r="P67" s="240"/>
      <c r="Q67" s="240"/>
      <c r="R67" s="240"/>
      <c r="S67" s="282"/>
      <c r="T67" s="283"/>
      <c r="U67" s="283"/>
      <c r="V67" s="283"/>
      <c r="W67" s="283"/>
      <c r="X67" s="283"/>
      <c r="Y67" s="283"/>
      <c r="Z67" s="283"/>
      <c r="AA67" s="283"/>
      <c r="AB67" s="283"/>
      <c r="AC67" s="283"/>
      <c r="AD67" s="283"/>
      <c r="AE67" s="283"/>
      <c r="AF67" s="283"/>
      <c r="AG67" s="283"/>
      <c r="AH67" s="283"/>
      <c r="AI67" s="283"/>
      <c r="AJ67" s="283"/>
      <c r="AK67" s="283"/>
    </row>
    <row r="68" spans="1:37" s="241" customFormat="1" ht="18.600000000000001" thickBot="1" x14ac:dyDescent="0.3">
      <c r="A68" s="180"/>
      <c r="B68" s="183" t="s">
        <v>160</v>
      </c>
      <c r="C68" s="210"/>
      <c r="D68" s="210"/>
      <c r="E68" s="210"/>
      <c r="F68" s="14"/>
      <c r="G68" s="210" t="s">
        <v>161</v>
      </c>
      <c r="H68" s="210"/>
      <c r="I68" s="210"/>
      <c r="J68" s="210"/>
      <c r="K68" s="280"/>
      <c r="L68" s="210"/>
      <c r="M68" s="210"/>
      <c r="N68" s="210"/>
      <c r="O68" s="186"/>
      <c r="P68" s="240"/>
      <c r="Q68" s="240"/>
      <c r="R68" s="240"/>
      <c r="S68" s="282"/>
      <c r="T68" s="286" t="str">
        <f>"Any Sub contractors onsite:"" "&amp;F60&amp;K60&amp;","&amp;"with"&amp;" "&amp;K61&amp;" "&amp;"laborers"&amp;"."&amp;C63&amp;","&amp;K63&amp;""&amp;"degrees"&amp;"."&amp;"Tasks:"&amp;E65&amp;".""JHA reviewed:"&amp;""&amp;G67&amp;".""Any injuries:"&amp;F68&amp;"."&amp;C69&amp;B70&amp;B71&amp;B72&amp;B73&amp;B74&amp;B75&amp;B76&amp;B77&amp;B78&amp;B79</f>
        <v>Any Sub contractors onsite:" ,with  laborers.,degrees.Tasks:."JHA reviewed:."Any injuries:.</v>
      </c>
      <c r="U68" s="283"/>
      <c r="V68" s="283"/>
      <c r="W68" s="283"/>
      <c r="X68" s="283"/>
      <c r="Y68" s="283"/>
      <c r="Z68" s="283"/>
      <c r="AA68" s="283"/>
      <c r="AB68" s="283"/>
      <c r="AC68" s="283"/>
      <c r="AD68" s="283"/>
      <c r="AE68" s="283"/>
      <c r="AF68" s="283"/>
      <c r="AG68" s="283"/>
      <c r="AH68" s="283"/>
      <c r="AI68" s="283"/>
      <c r="AJ68" s="283"/>
      <c r="AK68" s="283"/>
    </row>
    <row r="69" spans="1:37" s="241" customFormat="1" ht="16.8" thickBot="1" x14ac:dyDescent="0.3">
      <c r="A69" s="180"/>
      <c r="B69" s="235" t="s">
        <v>162</v>
      </c>
      <c r="C69" s="317"/>
      <c r="D69" s="317"/>
      <c r="E69" s="317"/>
      <c r="F69" s="317"/>
      <c r="G69" s="317"/>
      <c r="H69" s="317"/>
      <c r="I69" s="317"/>
      <c r="J69" s="317"/>
      <c r="K69" s="317"/>
      <c r="L69" s="317"/>
      <c r="M69" s="317"/>
      <c r="N69" s="317"/>
      <c r="O69" s="186"/>
      <c r="P69" s="240"/>
      <c r="Q69" s="240"/>
      <c r="R69" s="240"/>
      <c r="S69" s="282"/>
      <c r="T69" s="287" t="str">
        <f>T68</f>
        <v>Any Sub contractors onsite:" ,with  laborers.,degrees.Tasks:."JHA reviewed:."Any injuries:.</v>
      </c>
      <c r="U69" s="288"/>
      <c r="V69" s="288"/>
      <c r="W69" s="288"/>
      <c r="X69" s="288"/>
      <c r="Y69" s="288"/>
      <c r="Z69" s="288"/>
      <c r="AA69" s="288"/>
      <c r="AB69" s="288"/>
      <c r="AC69" s="288"/>
      <c r="AD69" s="288"/>
      <c r="AE69" s="288"/>
      <c r="AF69" s="288"/>
      <c r="AG69" s="288"/>
      <c r="AH69" s="283"/>
      <c r="AI69" s="283"/>
      <c r="AJ69" s="283"/>
      <c r="AK69" s="283"/>
    </row>
    <row r="70" spans="1:37" s="241" customFormat="1" ht="16.8" thickBot="1" x14ac:dyDescent="0.3">
      <c r="A70" s="180"/>
      <c r="B70" s="318"/>
      <c r="C70" s="317"/>
      <c r="D70" s="317"/>
      <c r="E70" s="317"/>
      <c r="F70" s="317"/>
      <c r="G70" s="317"/>
      <c r="H70" s="317"/>
      <c r="I70" s="317"/>
      <c r="J70" s="317"/>
      <c r="K70" s="317"/>
      <c r="L70" s="317"/>
      <c r="M70" s="317"/>
      <c r="N70" s="317"/>
      <c r="O70" s="186"/>
      <c r="P70" s="240"/>
      <c r="Q70" s="240"/>
      <c r="R70" s="240"/>
      <c r="S70" s="282"/>
      <c r="T70" s="316"/>
      <c r="U70" s="316"/>
      <c r="V70" s="316"/>
      <c r="W70" s="316"/>
      <c r="X70" s="316"/>
      <c r="Y70" s="316"/>
      <c r="Z70" s="316"/>
      <c r="AA70" s="316"/>
      <c r="AB70" s="316"/>
      <c r="AC70" s="316"/>
      <c r="AD70" s="316"/>
      <c r="AE70" s="316"/>
      <c r="AF70" s="316"/>
      <c r="AG70" s="316"/>
      <c r="AH70" s="283"/>
      <c r="AI70" s="283"/>
      <c r="AJ70" s="283"/>
      <c r="AK70" s="283"/>
    </row>
    <row r="71" spans="1:37" s="241" customFormat="1" ht="16.8" thickBot="1" x14ac:dyDescent="0.3">
      <c r="A71" s="180"/>
      <c r="B71" s="318"/>
      <c r="C71" s="317"/>
      <c r="D71" s="317"/>
      <c r="E71" s="317"/>
      <c r="F71" s="317"/>
      <c r="G71" s="317"/>
      <c r="H71" s="317"/>
      <c r="I71" s="317"/>
      <c r="J71" s="317"/>
      <c r="K71" s="317"/>
      <c r="L71" s="317"/>
      <c r="M71" s="317"/>
      <c r="N71" s="317"/>
      <c r="O71" s="186"/>
      <c r="P71" s="240"/>
      <c r="Q71" s="240"/>
      <c r="R71" s="240"/>
      <c r="S71" s="282"/>
      <c r="T71" s="316"/>
      <c r="U71" s="316"/>
      <c r="V71" s="316"/>
      <c r="W71" s="316"/>
      <c r="X71" s="316"/>
      <c r="Y71" s="316"/>
      <c r="Z71" s="316"/>
      <c r="AA71" s="316"/>
      <c r="AB71" s="316"/>
      <c r="AC71" s="316"/>
      <c r="AD71" s="316"/>
      <c r="AE71" s="316"/>
      <c r="AF71" s="316"/>
      <c r="AG71" s="316"/>
      <c r="AH71" s="283"/>
      <c r="AI71" s="283"/>
      <c r="AJ71" s="283"/>
      <c r="AK71" s="283"/>
    </row>
    <row r="72" spans="1:37" s="241" customFormat="1" ht="16.8" thickBot="1" x14ac:dyDescent="0.3">
      <c r="A72" s="180"/>
      <c r="B72" s="318"/>
      <c r="C72" s="317"/>
      <c r="D72" s="317"/>
      <c r="E72" s="317"/>
      <c r="F72" s="317"/>
      <c r="G72" s="317"/>
      <c r="H72" s="317"/>
      <c r="I72" s="317"/>
      <c r="J72" s="317"/>
      <c r="K72" s="317"/>
      <c r="L72" s="317"/>
      <c r="M72" s="317"/>
      <c r="N72" s="317"/>
      <c r="O72" s="186"/>
      <c r="P72" s="240"/>
      <c r="Q72" s="240"/>
      <c r="R72" s="240"/>
      <c r="S72" s="282"/>
      <c r="T72" s="316"/>
      <c r="U72" s="316"/>
      <c r="V72" s="316"/>
      <c r="W72" s="316"/>
      <c r="X72" s="316"/>
      <c r="Y72" s="316"/>
      <c r="Z72" s="316"/>
      <c r="AA72" s="316"/>
      <c r="AB72" s="316"/>
      <c r="AC72" s="316"/>
      <c r="AD72" s="316"/>
      <c r="AE72" s="316"/>
      <c r="AF72" s="316"/>
      <c r="AG72" s="316"/>
      <c r="AH72" s="283"/>
      <c r="AI72" s="283"/>
      <c r="AJ72" s="283"/>
      <c r="AK72" s="283"/>
    </row>
    <row r="73" spans="1:37" s="241" customFormat="1" ht="16.8" thickBot="1" x14ac:dyDescent="0.3">
      <c r="A73" s="180"/>
      <c r="B73" s="318"/>
      <c r="C73" s="317"/>
      <c r="D73" s="317"/>
      <c r="E73" s="317"/>
      <c r="F73" s="317"/>
      <c r="G73" s="317"/>
      <c r="H73" s="317"/>
      <c r="I73" s="317"/>
      <c r="J73" s="317"/>
      <c r="K73" s="317"/>
      <c r="L73" s="317"/>
      <c r="M73" s="317"/>
      <c r="N73" s="317"/>
      <c r="O73" s="186"/>
      <c r="P73" s="240"/>
      <c r="Q73" s="240"/>
      <c r="R73" s="240"/>
      <c r="S73" s="282"/>
      <c r="T73" s="316"/>
      <c r="U73" s="316"/>
      <c r="V73" s="316"/>
      <c r="W73" s="316"/>
      <c r="X73" s="316"/>
      <c r="Y73" s="316"/>
      <c r="Z73" s="316"/>
      <c r="AA73" s="316"/>
      <c r="AB73" s="316"/>
      <c r="AC73" s="316"/>
      <c r="AD73" s="316"/>
      <c r="AE73" s="316"/>
      <c r="AF73" s="316"/>
      <c r="AG73" s="316"/>
      <c r="AH73" s="283"/>
      <c r="AI73" s="283"/>
      <c r="AJ73" s="283"/>
      <c r="AK73" s="283"/>
    </row>
    <row r="74" spans="1:37" s="241" customFormat="1" ht="16.8" thickBot="1" x14ac:dyDescent="0.3">
      <c r="A74" s="180"/>
      <c r="B74" s="318"/>
      <c r="C74" s="317"/>
      <c r="D74" s="317"/>
      <c r="E74" s="317"/>
      <c r="F74" s="317"/>
      <c r="G74" s="317"/>
      <c r="H74" s="317"/>
      <c r="I74" s="317"/>
      <c r="J74" s="317"/>
      <c r="K74" s="317"/>
      <c r="L74" s="317"/>
      <c r="M74" s="317"/>
      <c r="N74" s="317"/>
      <c r="O74" s="186"/>
      <c r="P74" s="240"/>
      <c r="Q74" s="240"/>
      <c r="R74" s="240"/>
      <c r="S74" s="282"/>
      <c r="T74" s="316"/>
      <c r="U74" s="316"/>
      <c r="V74" s="316"/>
      <c r="W74" s="316"/>
      <c r="X74" s="316"/>
      <c r="Y74" s="316"/>
      <c r="Z74" s="316"/>
      <c r="AA74" s="316"/>
      <c r="AB74" s="316"/>
      <c r="AC74" s="316"/>
      <c r="AD74" s="316"/>
      <c r="AE74" s="316"/>
      <c r="AF74" s="316"/>
      <c r="AG74" s="316"/>
      <c r="AH74" s="283"/>
      <c r="AI74" s="283"/>
      <c r="AJ74" s="283"/>
      <c r="AK74" s="283"/>
    </row>
    <row r="75" spans="1:37" s="241" customFormat="1" ht="16.8" thickBot="1" x14ac:dyDescent="0.3">
      <c r="A75" s="180"/>
      <c r="B75" s="318"/>
      <c r="C75" s="317"/>
      <c r="D75" s="317"/>
      <c r="E75" s="317"/>
      <c r="F75" s="317"/>
      <c r="G75" s="317"/>
      <c r="H75" s="317"/>
      <c r="I75" s="317"/>
      <c r="J75" s="317"/>
      <c r="K75" s="317"/>
      <c r="L75" s="317"/>
      <c r="M75" s="317"/>
      <c r="N75" s="317"/>
      <c r="O75" s="186"/>
      <c r="P75" s="240"/>
      <c r="Q75" s="240"/>
      <c r="R75" s="240"/>
      <c r="S75" s="282"/>
      <c r="T75" s="316"/>
      <c r="U75" s="316"/>
      <c r="V75" s="316"/>
      <c r="W75" s="316"/>
      <c r="X75" s="316"/>
      <c r="Y75" s="316"/>
      <c r="Z75" s="316"/>
      <c r="AA75" s="316"/>
      <c r="AB75" s="316"/>
      <c r="AC75" s="316"/>
      <c r="AD75" s="316"/>
      <c r="AE75" s="316"/>
      <c r="AF75" s="316"/>
      <c r="AG75" s="316"/>
      <c r="AH75" s="283"/>
      <c r="AI75" s="283"/>
      <c r="AJ75" s="283"/>
      <c r="AK75" s="283"/>
    </row>
    <row r="76" spans="1:37" s="241" customFormat="1" ht="16.8" thickBot="1" x14ac:dyDescent="0.3">
      <c r="A76" s="180"/>
      <c r="B76" s="318"/>
      <c r="C76" s="317"/>
      <c r="D76" s="317"/>
      <c r="E76" s="317"/>
      <c r="F76" s="317"/>
      <c r="G76" s="317"/>
      <c r="H76" s="317"/>
      <c r="I76" s="317"/>
      <c r="J76" s="317"/>
      <c r="K76" s="317"/>
      <c r="L76" s="317"/>
      <c r="M76" s="317"/>
      <c r="N76" s="317"/>
      <c r="O76" s="186"/>
      <c r="P76" s="240"/>
      <c r="Q76" s="240"/>
      <c r="R76" s="240"/>
      <c r="S76" s="282"/>
      <c r="T76" s="316"/>
      <c r="U76" s="316"/>
      <c r="V76" s="316"/>
      <c r="W76" s="316"/>
      <c r="X76" s="316"/>
      <c r="Y76" s="316"/>
      <c r="Z76" s="316"/>
      <c r="AA76" s="316"/>
      <c r="AB76" s="316"/>
      <c r="AC76" s="316"/>
      <c r="AD76" s="316"/>
      <c r="AE76" s="316"/>
      <c r="AF76" s="316"/>
      <c r="AG76" s="316"/>
      <c r="AH76" s="283"/>
      <c r="AI76" s="283"/>
      <c r="AJ76" s="283"/>
      <c r="AK76" s="283"/>
    </row>
    <row r="77" spans="1:37" s="241" customFormat="1" ht="16.8" thickBot="1" x14ac:dyDescent="0.3">
      <c r="A77" s="180"/>
      <c r="B77" s="318"/>
      <c r="C77" s="317"/>
      <c r="D77" s="317"/>
      <c r="E77" s="317"/>
      <c r="F77" s="317"/>
      <c r="G77" s="317"/>
      <c r="H77" s="317"/>
      <c r="I77" s="317"/>
      <c r="J77" s="317"/>
      <c r="K77" s="317"/>
      <c r="L77" s="317"/>
      <c r="M77" s="317"/>
      <c r="N77" s="317"/>
      <c r="O77" s="186"/>
      <c r="P77" s="240"/>
      <c r="Q77" s="240"/>
      <c r="R77" s="240"/>
      <c r="S77" s="282"/>
      <c r="T77" s="316"/>
      <c r="U77" s="316"/>
      <c r="V77" s="316"/>
      <c r="W77" s="316"/>
      <c r="X77" s="316"/>
      <c r="Y77" s="316"/>
      <c r="Z77" s="316"/>
      <c r="AA77" s="316"/>
      <c r="AB77" s="316"/>
      <c r="AC77" s="316"/>
      <c r="AD77" s="316"/>
      <c r="AE77" s="316"/>
      <c r="AF77" s="316"/>
      <c r="AG77" s="316"/>
      <c r="AH77" s="283"/>
      <c r="AI77" s="283"/>
      <c r="AJ77" s="283"/>
      <c r="AK77" s="283"/>
    </row>
    <row r="78" spans="1:37" s="241" customFormat="1" ht="16.8" thickBot="1" x14ac:dyDescent="0.3">
      <c r="A78" s="180"/>
      <c r="B78" s="318"/>
      <c r="C78" s="317"/>
      <c r="D78" s="317"/>
      <c r="E78" s="317"/>
      <c r="F78" s="317"/>
      <c r="G78" s="317"/>
      <c r="H78" s="317"/>
      <c r="I78" s="317"/>
      <c r="J78" s="317"/>
      <c r="K78" s="317"/>
      <c r="L78" s="317"/>
      <c r="M78" s="317"/>
      <c r="N78" s="317"/>
      <c r="O78" s="186"/>
      <c r="P78" s="240"/>
      <c r="Q78" s="240"/>
      <c r="R78" s="240"/>
      <c r="S78" s="282"/>
      <c r="T78" s="316"/>
      <c r="U78" s="316"/>
      <c r="V78" s="316"/>
      <c r="W78" s="316"/>
      <c r="X78" s="316"/>
      <c r="Y78" s="316"/>
      <c r="Z78" s="316"/>
      <c r="AA78" s="316"/>
      <c r="AB78" s="316"/>
      <c r="AC78" s="316"/>
      <c r="AD78" s="316"/>
      <c r="AE78" s="316"/>
      <c r="AF78" s="316"/>
      <c r="AG78" s="316"/>
      <c r="AH78" s="283"/>
      <c r="AI78" s="283"/>
      <c r="AJ78" s="283"/>
      <c r="AK78" s="283"/>
    </row>
    <row r="79" spans="1:37" s="241" customFormat="1" ht="16.8" thickBot="1" x14ac:dyDescent="0.3">
      <c r="A79" s="180"/>
      <c r="B79" s="318"/>
      <c r="C79" s="317"/>
      <c r="D79" s="317"/>
      <c r="E79" s="317"/>
      <c r="F79" s="317"/>
      <c r="G79" s="317"/>
      <c r="H79" s="317"/>
      <c r="I79" s="317"/>
      <c r="J79" s="317"/>
      <c r="K79" s="317"/>
      <c r="L79" s="317"/>
      <c r="M79" s="317"/>
      <c r="N79" s="317"/>
      <c r="O79" s="186"/>
      <c r="P79" s="240"/>
      <c r="Q79" s="240"/>
      <c r="R79" s="240"/>
      <c r="S79" s="282"/>
      <c r="T79" s="316"/>
      <c r="U79" s="316"/>
      <c r="V79" s="316"/>
      <c r="W79" s="316"/>
      <c r="X79" s="316"/>
      <c r="Y79" s="316"/>
      <c r="Z79" s="316"/>
      <c r="AA79" s="316"/>
      <c r="AB79" s="316"/>
      <c r="AC79" s="316"/>
      <c r="AD79" s="316"/>
      <c r="AE79" s="316"/>
      <c r="AF79" s="316"/>
      <c r="AG79" s="316"/>
      <c r="AH79" s="283"/>
      <c r="AI79" s="283"/>
      <c r="AJ79" s="283"/>
      <c r="AK79" s="283"/>
    </row>
    <row r="80" spans="1:37" s="241" customFormat="1" ht="18" x14ac:dyDescent="0.25">
      <c r="A80" s="180"/>
      <c r="B80" s="189" t="s">
        <v>61</v>
      </c>
      <c r="C80" s="190"/>
      <c r="D80" s="190"/>
      <c r="E80" s="190"/>
      <c r="F80" s="190"/>
      <c r="G80" s="190"/>
      <c r="H80" s="190"/>
      <c r="I80" s="190"/>
      <c r="J80" s="190"/>
      <c r="K80" s="190"/>
      <c r="L80" s="190"/>
      <c r="M80" s="190"/>
      <c r="N80" s="190"/>
      <c r="O80" s="191"/>
      <c r="P80" s="240"/>
      <c r="Q80" s="240"/>
      <c r="R80" s="240"/>
      <c r="S80" s="240"/>
    </row>
    <row r="81" spans="1:19" s="241" customFormat="1" ht="18.600000000000001" thickBot="1" x14ac:dyDescent="0.3">
      <c r="A81" s="192"/>
      <c r="B81" s="289"/>
      <c r="C81" s="290"/>
      <c r="D81" s="290"/>
      <c r="E81" s="290"/>
      <c r="F81" s="290"/>
      <c r="G81" s="290"/>
      <c r="H81" s="290"/>
      <c r="I81" s="290"/>
      <c r="J81" s="290"/>
      <c r="K81" s="290"/>
      <c r="L81" s="290"/>
      <c r="M81" s="290"/>
      <c r="N81" s="290"/>
      <c r="O81" s="186"/>
      <c r="P81" s="240"/>
      <c r="Q81" s="240"/>
      <c r="R81" s="240"/>
      <c r="S81" s="240"/>
    </row>
    <row r="82" spans="1:19" s="241" customFormat="1" ht="18.600000000000001" thickBot="1" x14ac:dyDescent="0.3">
      <c r="A82" s="180"/>
      <c r="B82" s="183" t="s">
        <v>62</v>
      </c>
      <c r="C82" s="213"/>
      <c r="D82" s="213"/>
      <c r="E82" s="213"/>
      <c r="F82" s="213"/>
      <c r="G82" s="213"/>
      <c r="H82" s="213"/>
      <c r="I82" s="213"/>
      <c r="J82" s="310" t="s">
        <v>159</v>
      </c>
      <c r="K82" s="310"/>
      <c r="L82" s="310"/>
      <c r="M82" s="310"/>
      <c r="N82" s="310"/>
      <c r="O82" s="186"/>
      <c r="P82" s="240"/>
      <c r="Q82" s="240"/>
      <c r="R82" s="240"/>
      <c r="S82" s="240"/>
    </row>
    <row r="83" spans="1:19" s="241" customFormat="1" ht="18" x14ac:dyDescent="0.25">
      <c r="A83" s="180"/>
      <c r="B83" s="291"/>
      <c r="C83" s="292"/>
      <c r="D83" s="292"/>
      <c r="E83" s="292"/>
      <c r="F83" s="292"/>
      <c r="G83" s="292"/>
      <c r="H83" s="292"/>
      <c r="I83" s="292"/>
      <c r="J83" s="292"/>
      <c r="K83" s="292"/>
      <c r="L83" s="292"/>
      <c r="M83" s="292"/>
      <c r="N83" s="292"/>
      <c r="O83" s="186"/>
      <c r="P83" s="240"/>
      <c r="Q83" s="240"/>
      <c r="R83" s="240"/>
      <c r="S83" s="240"/>
    </row>
    <row r="84" spans="1:19" s="241" customFormat="1" ht="26.4" thickBot="1" x14ac:dyDescent="0.3">
      <c r="A84" s="180"/>
      <c r="B84" s="293" t="s">
        <v>63</v>
      </c>
      <c r="C84" s="294"/>
      <c r="D84" s="294"/>
      <c r="E84" s="260"/>
      <c r="F84" s="260"/>
      <c r="G84" s="260"/>
      <c r="H84" s="260"/>
      <c r="I84" s="260"/>
      <c r="J84" s="260"/>
      <c r="K84" s="260"/>
      <c r="L84" s="260"/>
      <c r="M84" s="260"/>
      <c r="N84" s="260"/>
      <c r="O84" s="186"/>
      <c r="P84" s="240"/>
      <c r="Q84" s="240"/>
      <c r="R84" s="240"/>
      <c r="S84" s="240"/>
    </row>
    <row r="85" spans="1:19" s="241" customFormat="1" ht="18.600000000000001" thickBot="1" x14ac:dyDescent="0.3">
      <c r="A85" s="180"/>
      <c r="B85" s="181" t="s">
        <v>64</v>
      </c>
      <c r="C85" s="182"/>
      <c r="D85" s="311"/>
      <c r="E85" s="311"/>
      <c r="F85" s="311"/>
      <c r="G85" s="312"/>
      <c r="H85" s="197" t="s">
        <v>8</v>
      </c>
      <c r="I85" s="194"/>
      <c r="J85" s="193" t="s">
        <v>65</v>
      </c>
      <c r="K85" s="313"/>
      <c r="L85" s="313"/>
      <c r="M85" s="313"/>
      <c r="N85" s="313"/>
      <c r="O85" s="186"/>
      <c r="P85" s="240"/>
      <c r="Q85" s="240"/>
      <c r="R85" s="240"/>
      <c r="S85" s="240"/>
    </row>
    <row r="86" spans="1:19" s="241" customFormat="1" ht="15" thickBot="1" x14ac:dyDescent="0.3">
      <c r="A86" s="180"/>
      <c r="B86" s="264" t="s">
        <v>36</v>
      </c>
      <c r="C86" s="260"/>
      <c r="D86" s="260"/>
      <c r="E86" s="260"/>
      <c r="F86" s="260"/>
      <c r="G86" s="260" t="s">
        <v>66</v>
      </c>
      <c r="H86" s="260"/>
      <c r="I86" s="260"/>
      <c r="J86" s="260"/>
      <c r="K86" s="260"/>
      <c r="L86" s="260"/>
      <c r="M86" s="260"/>
      <c r="N86" s="260"/>
      <c r="O86" s="186"/>
      <c r="P86" s="240"/>
      <c r="Q86" s="240"/>
      <c r="R86" s="240"/>
      <c r="S86" s="240"/>
    </row>
    <row r="87" spans="1:19" x14ac:dyDescent="0.3">
      <c r="A87" s="156"/>
    </row>
  </sheetData>
  <sheetProtection sheet="1" objects="1" scenarios="1" selectLockedCells="1"/>
  <dataConsolidate/>
  <mergeCells count="96">
    <mergeCell ref="H29:I29"/>
    <mergeCell ref="H30:I30"/>
    <mergeCell ref="J29:N29"/>
    <mergeCell ref="J30:N30"/>
    <mergeCell ref="D29:G29"/>
    <mergeCell ref="B40:D40"/>
    <mergeCell ref="H35:J35"/>
    <mergeCell ref="H36:J36"/>
    <mergeCell ref="H37:J37"/>
    <mergeCell ref="B35:D35"/>
    <mergeCell ref="B36:D36"/>
    <mergeCell ref="B37:D37"/>
    <mergeCell ref="B38:D38"/>
    <mergeCell ref="B39:D39"/>
    <mergeCell ref="B9:N9"/>
    <mergeCell ref="B27:N27"/>
    <mergeCell ref="B28:C28"/>
    <mergeCell ref="D28:G28"/>
    <mergeCell ref="H28:I28"/>
    <mergeCell ref="J28:N28"/>
    <mergeCell ref="E11:F11"/>
    <mergeCell ref="M12:N12"/>
    <mergeCell ref="I12:J12"/>
    <mergeCell ref="E14:G14"/>
    <mergeCell ref="K14:L14"/>
    <mergeCell ref="E15:G15"/>
    <mergeCell ref="J24:K24"/>
    <mergeCell ref="K15:L15"/>
    <mergeCell ref="B53:C53"/>
    <mergeCell ref="D53:E53"/>
    <mergeCell ref="F53:G53"/>
    <mergeCell ref="H53:I53"/>
    <mergeCell ref="J53:K53"/>
    <mergeCell ref="B55:C55"/>
    <mergeCell ref="H55:I55"/>
    <mergeCell ref="J55:K55"/>
    <mergeCell ref="L55:N55"/>
    <mergeCell ref="B54:C54"/>
    <mergeCell ref="D54:E54"/>
    <mergeCell ref="F54:G54"/>
    <mergeCell ref="H54:I54"/>
    <mergeCell ref="J54:K54"/>
    <mergeCell ref="D30:G30"/>
    <mergeCell ref="D31:G31"/>
    <mergeCell ref="D32:G32"/>
    <mergeCell ref="D33:G33"/>
    <mergeCell ref="B29:C29"/>
    <mergeCell ref="B30:C30"/>
    <mergeCell ref="B31:C31"/>
    <mergeCell ref="B32:C32"/>
    <mergeCell ref="B33:C33"/>
    <mergeCell ref="J58:K58"/>
    <mergeCell ref="L56:N56"/>
    <mergeCell ref="L57:N57"/>
    <mergeCell ref="L58:N58"/>
    <mergeCell ref="J57:K57"/>
    <mergeCell ref="T70:AG79"/>
    <mergeCell ref="C69:N69"/>
    <mergeCell ref="B70:N70"/>
    <mergeCell ref="B71:N71"/>
    <mergeCell ref="B72:N72"/>
    <mergeCell ref="B73:N73"/>
    <mergeCell ref="B74:N74"/>
    <mergeCell ref="B75:N75"/>
    <mergeCell ref="B76:N76"/>
    <mergeCell ref="B77:N77"/>
    <mergeCell ref="B78:N78"/>
    <mergeCell ref="B79:N79"/>
    <mergeCell ref="H38:J38"/>
    <mergeCell ref="L53:N54"/>
    <mergeCell ref="J82:N82"/>
    <mergeCell ref="D85:G85"/>
    <mergeCell ref="K85:N85"/>
    <mergeCell ref="K60:M60"/>
    <mergeCell ref="H56:I56"/>
    <mergeCell ref="J56:K56"/>
    <mergeCell ref="H57:I57"/>
    <mergeCell ref="E65:N65"/>
    <mergeCell ref="E66:N66"/>
    <mergeCell ref="I47:K47"/>
    <mergeCell ref="J49:K49"/>
    <mergeCell ref="D58:E58"/>
    <mergeCell ref="F58:G58"/>
    <mergeCell ref="H58:I58"/>
    <mergeCell ref="B56:C56"/>
    <mergeCell ref="B57:C57"/>
    <mergeCell ref="B58:C58"/>
    <mergeCell ref="D56:E56"/>
    <mergeCell ref="F56:G56"/>
    <mergeCell ref="D57:E57"/>
    <mergeCell ref="F57:G57"/>
    <mergeCell ref="M34:N34"/>
    <mergeCell ref="M35:N35"/>
    <mergeCell ref="M36:N36"/>
    <mergeCell ref="M37:N37"/>
    <mergeCell ref="M38:N38"/>
  </mergeCells>
  <phoneticPr fontId="21" type="noConversion"/>
  <conditionalFormatting sqref="I11">
    <cfRule type="containsBlanks" dxfId="38" priority="43">
      <formula>LEN(TRIM(I11))=0</formula>
    </cfRule>
  </conditionalFormatting>
  <conditionalFormatting sqref="C11">
    <cfRule type="containsBlanks" dxfId="37" priority="42">
      <formula>LEN(TRIM(C11))=0</formula>
    </cfRule>
  </conditionalFormatting>
  <conditionalFormatting sqref="E11:F11">
    <cfRule type="containsBlanks" dxfId="36" priority="41">
      <formula>LEN(TRIM(E11))=0</formula>
    </cfRule>
  </conditionalFormatting>
  <conditionalFormatting sqref="I26">
    <cfRule type="containsBlanks" dxfId="35" priority="40">
      <formula>LEN(TRIM(I26))=0</formula>
    </cfRule>
  </conditionalFormatting>
  <conditionalFormatting sqref="J31">
    <cfRule type="containsBlanks" dxfId="34" priority="38">
      <formula>LEN(TRIM(J31))=0</formula>
    </cfRule>
  </conditionalFormatting>
  <conditionalFormatting sqref="M31">
    <cfRule type="containsBlanks" dxfId="33" priority="37">
      <formula>LEN(TRIM(M31))=0</formula>
    </cfRule>
  </conditionalFormatting>
  <conditionalFormatting sqref="I25">
    <cfRule type="containsBlanks" dxfId="32" priority="36">
      <formula>LEN(TRIM(I25))=0</formula>
    </cfRule>
  </conditionalFormatting>
  <conditionalFormatting sqref="M23">
    <cfRule type="containsBlanks" dxfId="31" priority="35">
      <formula>LEN(TRIM(M23))=0</formula>
    </cfRule>
  </conditionalFormatting>
  <conditionalFormatting sqref="M22">
    <cfRule type="containsBlanks" dxfId="30" priority="34">
      <formula>LEN(TRIM(M22))=0</formula>
    </cfRule>
  </conditionalFormatting>
  <conditionalFormatting sqref="K21">
    <cfRule type="containsBlanks" dxfId="29" priority="33">
      <formula>LEN(TRIM(K21))=0</formula>
    </cfRule>
  </conditionalFormatting>
  <conditionalFormatting sqref="K20">
    <cfRule type="containsBlanks" dxfId="28" priority="32">
      <formula>LEN(TRIM(K20))=0</formula>
    </cfRule>
  </conditionalFormatting>
  <conditionalFormatting sqref="K19">
    <cfRule type="containsBlanks" dxfId="27" priority="31">
      <formula>LEN(TRIM(K19))=0</formula>
    </cfRule>
  </conditionalFormatting>
  <conditionalFormatting sqref="K18">
    <cfRule type="containsBlanks" dxfId="26" priority="30">
      <formula>LEN(TRIM(K18))=0</formula>
    </cfRule>
  </conditionalFormatting>
  <conditionalFormatting sqref="K17">
    <cfRule type="containsBlanks" dxfId="25" priority="29">
      <formula>LEN(TRIM(K17))=0</formula>
    </cfRule>
  </conditionalFormatting>
  <conditionalFormatting sqref="B35:B40">
    <cfRule type="containsBlanks" dxfId="24" priority="44">
      <formula>LEN(TRIM(B35))=0</formula>
    </cfRule>
  </conditionalFormatting>
  <conditionalFormatting sqref="L39">
    <cfRule type="containsBlanks" dxfId="23" priority="45">
      <formula>LEN(TRIM(L39))=0</formula>
    </cfRule>
  </conditionalFormatting>
  <conditionalFormatting sqref="L40">
    <cfRule type="containsBlanks" dxfId="22" priority="25">
      <formula>LEN(TRIM(L40))=0</formula>
    </cfRule>
  </conditionalFormatting>
  <conditionalFormatting sqref="F60">
    <cfRule type="containsBlanks" dxfId="21" priority="24">
      <formula>LEN(TRIM(F60))=0</formula>
    </cfRule>
  </conditionalFormatting>
  <conditionalFormatting sqref="C63">
    <cfRule type="containsBlanks" dxfId="20" priority="23">
      <formula>LEN(TRIM(C63))=0</formula>
    </cfRule>
  </conditionalFormatting>
  <conditionalFormatting sqref="K63">
    <cfRule type="containsBlanks" dxfId="19" priority="22">
      <formula>LEN(TRIM(K63))=0</formula>
    </cfRule>
  </conditionalFormatting>
  <conditionalFormatting sqref="E65:N65">
    <cfRule type="containsBlanks" dxfId="18" priority="21">
      <formula>LEN(TRIM(E65))=0</formula>
    </cfRule>
  </conditionalFormatting>
  <conditionalFormatting sqref="E66:N66">
    <cfRule type="containsBlanks" dxfId="17" priority="20">
      <formula>LEN(TRIM(E66))=0</formula>
    </cfRule>
  </conditionalFormatting>
  <conditionalFormatting sqref="G67">
    <cfRule type="containsBlanks" dxfId="16" priority="19">
      <formula>LEN(TRIM(G67))=0</formula>
    </cfRule>
  </conditionalFormatting>
  <conditionalFormatting sqref="F68">
    <cfRule type="containsBlanks" dxfId="15" priority="18">
      <formula>LEN(TRIM(F68))=0</formula>
    </cfRule>
  </conditionalFormatting>
  <conditionalFormatting sqref="K68:N68">
    <cfRule type="containsBlanks" dxfId="14" priority="17">
      <formula>LEN(TRIM(K68))=0</formula>
    </cfRule>
  </conditionalFormatting>
  <conditionalFormatting sqref="J82">
    <cfRule type="containsBlanks" dxfId="13" priority="16">
      <formula>LEN(TRIM(J82))=0</formula>
    </cfRule>
  </conditionalFormatting>
  <conditionalFormatting sqref="L11">
    <cfRule type="containsBlanks" dxfId="12" priority="15">
      <formula>LEN(TRIM(L11))=0</formula>
    </cfRule>
  </conditionalFormatting>
  <conditionalFormatting sqref="M12:N12">
    <cfRule type="containsBlanks" dxfId="11" priority="13">
      <formula>LEN(TRIM(M12))=0</formula>
    </cfRule>
  </conditionalFormatting>
  <conditionalFormatting sqref="I12">
    <cfRule type="containsBlanks" dxfId="10" priority="12">
      <formula>LEN(TRIM(I12))=0</formula>
    </cfRule>
  </conditionalFormatting>
  <conditionalFormatting sqref="E14:G14">
    <cfRule type="containsBlanks" dxfId="9" priority="11">
      <formula>LEN(TRIM(E14))=0</formula>
    </cfRule>
  </conditionalFormatting>
  <conditionalFormatting sqref="E15">
    <cfRule type="containsBlanks" dxfId="8" priority="10">
      <formula>LEN(TRIM(E15))=0</formula>
    </cfRule>
  </conditionalFormatting>
  <conditionalFormatting sqref="K14">
    <cfRule type="containsBlanks" dxfId="7" priority="9">
      <formula>LEN(TRIM(K14))=0</formula>
    </cfRule>
  </conditionalFormatting>
  <conditionalFormatting sqref="K15">
    <cfRule type="containsBlanks" dxfId="6" priority="8">
      <formula>LEN(TRIM(K15))=0</formula>
    </cfRule>
  </conditionalFormatting>
  <conditionalFormatting sqref="C12">
    <cfRule type="containsBlanks" dxfId="5" priority="7">
      <formula>LEN(TRIM(C12))=0</formula>
    </cfRule>
  </conditionalFormatting>
  <conditionalFormatting sqref="C13">
    <cfRule type="containsBlanks" dxfId="4" priority="6">
      <formula>LEN(TRIM(C13))=0</formula>
    </cfRule>
  </conditionalFormatting>
  <conditionalFormatting sqref="K13">
    <cfRule type="containsBlanks" dxfId="3" priority="5">
      <formula>LEN(TRIM(K13))=0</formula>
    </cfRule>
  </conditionalFormatting>
  <conditionalFormatting sqref="I16">
    <cfRule type="containsBlanks" dxfId="2" priority="4">
      <formula>LEN(TRIM(I16))=0</formula>
    </cfRule>
  </conditionalFormatting>
  <conditionalFormatting sqref="J24:K24">
    <cfRule type="containsBlanks" dxfId="1" priority="3">
      <formula>LEN(TRIM(J24))=0</formula>
    </cfRule>
  </conditionalFormatting>
  <conditionalFormatting sqref="H35:H38">
    <cfRule type="containsBlanks" dxfId="0" priority="1">
      <formula>LEN(TRIM(H35))=0</formula>
    </cfRule>
  </conditionalFormatting>
  <dataValidations xWindow="630" yWindow="824" count="8">
    <dataValidation operator="equal" showInputMessage="1" showErrorMessage="1" sqref="I11" xr:uid="{00000000-0002-0000-0000-000000000000}"/>
    <dataValidation type="list" showInputMessage="1" showErrorMessage="1" sqref="J31 M31" xr:uid="{00000000-0002-0000-0000-000001000000}">
      <formula1>"Yes, No"</formula1>
    </dataValidation>
    <dataValidation type="list" showInputMessage="1" showErrorMessage="1" sqref="C13 M22:M23 K17:K21 F60 G67 F68 I26" xr:uid="{00000000-0002-0000-0000-000002000000}">
      <formula1>"Yes, No, N/A"</formula1>
    </dataValidation>
    <dataValidation type="list" showInputMessage="1" showErrorMessage="1" sqref="L39" xr:uid="{00000000-0002-0000-0000-000003000000}">
      <formula1>"1,2,3,4,5,6"</formula1>
    </dataValidation>
    <dataValidation type="list" showInputMessage="1" showErrorMessage="1" sqref="C63" xr:uid="{00000000-0002-0000-0000-000004000000}">
      <formula1>"Clear,Overcast,Rain,Snow    "</formula1>
    </dataValidation>
    <dataValidation allowBlank="1" showDropDown="1" showInputMessage="1" showErrorMessage="1" sqref="C12" xr:uid="{00000000-0002-0000-0000-000005000000}"/>
    <dataValidation type="list" allowBlank="1" showInputMessage="1" showErrorMessage="1" sqref="K13" xr:uid="{00000000-0002-0000-0000-000006000000}">
      <formula1>"1, 2,3,4,5,6 ,N/A, 1 2, 1 3, 1 4, 1 5, 1 6,"</formula1>
    </dataValidation>
    <dataValidation type="list" allowBlank="1" showInputMessage="1" showErrorMessage="1" sqref="J24:K24" xr:uid="{00000000-0002-0000-0000-000007000000}">
      <formula1>"Flagmen,Ground men,substation,Inspectors,Switch-men, Flagmen Groundmen, Flagmen substation, Flagmen Inspectors, Groundmen Substation, Ground men Inspectors, Substation Inspectors"</formula1>
    </dataValidation>
  </dataValidations>
  <printOptions horizontalCentered="1"/>
  <pageMargins left="0.25" right="0.25" top="0.75" bottom="0.75" header="0.3" footer="0.3"/>
  <pageSetup scale="83" orientation="portrait" r:id="rId1"/>
  <headerFooter alignWithMargins="0"/>
  <drawing r:id="rId2"/>
  <legacyDrawing r:id="rId3"/>
  <controls>
    <mc:AlternateContent xmlns:mc="http://schemas.openxmlformats.org/markup-compatibility/2006">
      <mc:Choice Requires="x14">
        <control shapeId="1092" r:id="rId4" name="CommandButton1">
          <controlPr defaultSize="0" autoLine="0" r:id="rId5">
            <anchor moveWithCells="1">
              <from>
                <xdr:col>1</xdr:col>
                <xdr:colOff>106680</xdr:colOff>
                <xdr:row>0</xdr:row>
                <xdr:rowOff>182880</xdr:rowOff>
              </from>
              <to>
                <xdr:col>1</xdr:col>
                <xdr:colOff>693420</xdr:colOff>
                <xdr:row>0</xdr:row>
                <xdr:rowOff>518160</xdr:rowOff>
              </to>
            </anchor>
          </controlPr>
        </control>
      </mc:Choice>
      <mc:Fallback>
        <control shapeId="1092" r:id="rId4" name="CommandButton1"/>
      </mc:Fallback>
    </mc:AlternateContent>
    <mc:AlternateContent xmlns:mc="http://schemas.openxmlformats.org/markup-compatibility/2006">
      <mc:Choice Requires="x14">
        <control shapeId="4707" r:id="rId6" name="CommandButton2">
          <controlPr defaultSize="0" autoLine="0" r:id="rId7">
            <anchor moveWithCells="1">
              <from>
                <xdr:col>2</xdr:col>
                <xdr:colOff>0</xdr:colOff>
                <xdr:row>0</xdr:row>
                <xdr:rowOff>175260</xdr:rowOff>
              </from>
              <to>
                <xdr:col>2</xdr:col>
                <xdr:colOff>579120</xdr:colOff>
                <xdr:row>0</xdr:row>
                <xdr:rowOff>525780</xdr:rowOff>
              </to>
            </anchor>
          </controlPr>
        </control>
      </mc:Choice>
      <mc:Fallback>
        <control shapeId="4707" r:id="rId6" name="CommandButton2"/>
      </mc:Fallback>
    </mc:AlternateContent>
  </controls>
  <extLst>
    <ext xmlns:x14="http://schemas.microsoft.com/office/spreadsheetml/2009/9/main" uri="{CCE6A557-97BC-4b89-ADB6-D9C93CAAB3DF}">
      <x14:dataValidations xmlns:xm="http://schemas.microsoft.com/office/excel/2006/main" xWindow="630" yWindow="824" count="1">
        <x14:dataValidation type="list" showInputMessage="1" showErrorMessage="1" xr:uid="{00000000-0002-0000-0000-000008000000}">
          <x14:formula1>
            <xm:f>Dropdowns!$A$1:$A$22</xm:f>
          </x14:formula1>
          <xm:sqref>B35:B40 H35:H38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30"/>
  <sheetViews>
    <sheetView workbookViewId="0">
      <selection activeCell="C1" sqref="C1:C32"/>
    </sheetView>
  </sheetViews>
  <sheetFormatPr defaultRowHeight="13.2" x14ac:dyDescent="0.25"/>
  <cols>
    <col min="1" max="1" width="17" style="12" bestFit="1" customWidth="1"/>
    <col min="2" max="2" width="24.109375" style="12" bestFit="1" customWidth="1"/>
    <col min="3" max="3" width="36.44140625" style="12" bestFit="1" customWidth="1"/>
  </cols>
  <sheetData>
    <row r="1" spans="1:3" ht="15.6" x14ac:dyDescent="0.25">
      <c r="A1" s="11" t="s">
        <v>90</v>
      </c>
      <c r="B1" s="11" t="s">
        <v>111</v>
      </c>
      <c r="C1" s="11" t="s">
        <v>121</v>
      </c>
    </row>
    <row r="2" spans="1:3" ht="15" x14ac:dyDescent="0.25">
      <c r="A2" s="12" t="s">
        <v>91</v>
      </c>
      <c r="B2" s="13" t="s">
        <v>112</v>
      </c>
      <c r="C2" s="13" t="s">
        <v>122</v>
      </c>
    </row>
    <row r="3" spans="1:3" ht="15" x14ac:dyDescent="0.25">
      <c r="A3" s="12" t="s">
        <v>92</v>
      </c>
      <c r="B3" s="13" t="s">
        <v>113</v>
      </c>
      <c r="C3" s="13" t="s">
        <v>123</v>
      </c>
    </row>
    <row r="4" spans="1:3" ht="15" x14ac:dyDescent="0.25">
      <c r="A4" s="12" t="s">
        <v>93</v>
      </c>
      <c r="B4" s="13" t="s">
        <v>113</v>
      </c>
      <c r="C4" s="13" t="s">
        <v>124</v>
      </c>
    </row>
    <row r="5" spans="1:3" ht="15" x14ac:dyDescent="0.25">
      <c r="A5" s="12" t="s">
        <v>94</v>
      </c>
      <c r="B5" s="13" t="s">
        <v>114</v>
      </c>
      <c r="C5" s="13" t="s">
        <v>125</v>
      </c>
    </row>
    <row r="6" spans="1:3" ht="15" x14ac:dyDescent="0.25">
      <c r="A6" s="12" t="s">
        <v>95</v>
      </c>
      <c r="B6" s="13" t="s">
        <v>114</v>
      </c>
      <c r="C6" s="13" t="s">
        <v>126</v>
      </c>
    </row>
    <row r="7" spans="1:3" ht="15" x14ac:dyDescent="0.25">
      <c r="A7" s="12" t="s">
        <v>96</v>
      </c>
      <c r="B7" s="13" t="s">
        <v>115</v>
      </c>
      <c r="C7" s="13" t="s">
        <v>127</v>
      </c>
    </row>
    <row r="8" spans="1:3" ht="15" x14ac:dyDescent="0.25">
      <c r="A8" s="12" t="s">
        <v>97</v>
      </c>
      <c r="B8" s="13" t="s">
        <v>115</v>
      </c>
      <c r="C8" s="13" t="s">
        <v>128</v>
      </c>
    </row>
    <row r="9" spans="1:3" ht="15" x14ac:dyDescent="0.25">
      <c r="A9" s="12" t="s">
        <v>98</v>
      </c>
      <c r="B9" s="13" t="s">
        <v>115</v>
      </c>
      <c r="C9" s="13" t="s">
        <v>129</v>
      </c>
    </row>
    <row r="10" spans="1:3" ht="15" x14ac:dyDescent="0.25">
      <c r="A10" s="12" t="s">
        <v>99</v>
      </c>
      <c r="B10" s="13" t="s">
        <v>116</v>
      </c>
      <c r="C10" s="13" t="s">
        <v>130</v>
      </c>
    </row>
    <row r="11" spans="1:3" ht="15" x14ac:dyDescent="0.25">
      <c r="A11" s="12" t="s">
        <v>100</v>
      </c>
      <c r="B11" s="13" t="s">
        <v>116</v>
      </c>
      <c r="C11" s="13" t="s">
        <v>131</v>
      </c>
    </row>
    <row r="12" spans="1:3" ht="15" x14ac:dyDescent="0.25">
      <c r="A12" s="12" t="s">
        <v>101</v>
      </c>
      <c r="B12" s="13" t="s">
        <v>117</v>
      </c>
      <c r="C12" s="13" t="s">
        <v>132</v>
      </c>
    </row>
    <row r="13" spans="1:3" ht="15" x14ac:dyDescent="0.25">
      <c r="A13" s="12" t="s">
        <v>102</v>
      </c>
      <c r="B13" s="13" t="s">
        <v>115</v>
      </c>
      <c r="C13" s="13" t="s">
        <v>133</v>
      </c>
    </row>
    <row r="14" spans="1:3" ht="15" x14ac:dyDescent="0.25">
      <c r="A14" s="12" t="s">
        <v>103</v>
      </c>
      <c r="B14" s="13" t="s">
        <v>115</v>
      </c>
      <c r="C14" s="13" t="s">
        <v>134</v>
      </c>
    </row>
    <row r="15" spans="1:3" ht="15" x14ac:dyDescent="0.25">
      <c r="A15" s="12" t="s">
        <v>104</v>
      </c>
      <c r="B15" s="13" t="s">
        <v>116</v>
      </c>
      <c r="C15" s="13" t="s">
        <v>135</v>
      </c>
    </row>
    <row r="16" spans="1:3" ht="15" x14ac:dyDescent="0.25">
      <c r="A16" s="13" t="s">
        <v>105</v>
      </c>
      <c r="B16" s="13" t="s">
        <v>118</v>
      </c>
      <c r="C16" s="13" t="s">
        <v>136</v>
      </c>
    </row>
    <row r="17" spans="1:3" ht="15" x14ac:dyDescent="0.25">
      <c r="A17" s="12" t="s">
        <v>106</v>
      </c>
      <c r="B17" s="13" t="s">
        <v>119</v>
      </c>
      <c r="C17" s="13" t="s">
        <v>137</v>
      </c>
    </row>
    <row r="18" spans="1:3" ht="15" x14ac:dyDescent="0.25">
      <c r="A18" s="12" t="s">
        <v>107</v>
      </c>
      <c r="B18" s="13" t="s">
        <v>119</v>
      </c>
      <c r="C18" s="13" t="s">
        <v>138</v>
      </c>
    </row>
    <row r="19" spans="1:3" ht="15" x14ac:dyDescent="0.25">
      <c r="A19" s="12" t="s">
        <v>108</v>
      </c>
      <c r="B19" s="13" t="s">
        <v>114</v>
      </c>
      <c r="C19" s="13" t="s">
        <v>139</v>
      </c>
    </row>
    <row r="20" spans="1:3" ht="15" x14ac:dyDescent="0.25">
      <c r="A20" s="12" t="s">
        <v>109</v>
      </c>
      <c r="B20" s="13" t="s">
        <v>114</v>
      </c>
      <c r="C20" s="13" t="s">
        <v>140</v>
      </c>
    </row>
    <row r="21" spans="1:3" ht="15" x14ac:dyDescent="0.25">
      <c r="A21" s="12" t="s">
        <v>110</v>
      </c>
      <c r="B21" s="13" t="s">
        <v>120</v>
      </c>
      <c r="C21" s="13" t="s">
        <v>141</v>
      </c>
    </row>
    <row r="22" spans="1:3" ht="15" x14ac:dyDescent="0.25">
      <c r="C22" s="13" t="s">
        <v>142</v>
      </c>
    </row>
    <row r="23" spans="1:3" ht="15" x14ac:dyDescent="0.25">
      <c r="C23" s="13" t="s">
        <v>143</v>
      </c>
    </row>
    <row r="24" spans="1:3" ht="15" x14ac:dyDescent="0.25">
      <c r="C24" s="13" t="s">
        <v>144</v>
      </c>
    </row>
    <row r="25" spans="1:3" ht="15" x14ac:dyDescent="0.25">
      <c r="C25" s="13" t="s">
        <v>145</v>
      </c>
    </row>
    <row r="26" spans="1:3" ht="15" x14ac:dyDescent="0.25">
      <c r="C26" s="13" t="s">
        <v>146</v>
      </c>
    </row>
    <row r="27" spans="1:3" ht="15" x14ac:dyDescent="0.25">
      <c r="C27" s="13" t="s">
        <v>147</v>
      </c>
    </row>
    <row r="28" spans="1:3" ht="15" x14ac:dyDescent="0.25">
      <c r="C28" s="13" t="s">
        <v>148</v>
      </c>
    </row>
    <row r="29" spans="1:3" ht="15" x14ac:dyDescent="0.25">
      <c r="C29" s="13" t="s">
        <v>149</v>
      </c>
    </row>
    <row r="30" spans="1:3" ht="15" x14ac:dyDescent="0.25">
      <c r="C30" s="13" t="s">
        <v>150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H5"/>
  <sheetViews>
    <sheetView workbookViewId="0">
      <pane ySplit="1" topLeftCell="A2" activePane="bottomLeft" state="frozen"/>
      <selection pane="bottomLeft" activeCell="N20" sqref="N20"/>
    </sheetView>
  </sheetViews>
  <sheetFormatPr defaultRowHeight="14.4" x14ac:dyDescent="0.25"/>
  <cols>
    <col min="1" max="1" width="12.88671875" style="201" bestFit="1" customWidth="1"/>
    <col min="2" max="2" width="12.88671875" style="198" customWidth="1"/>
    <col min="3" max="3" width="15.6640625" style="198" bestFit="1" customWidth="1"/>
    <col min="4" max="4" width="10.5546875" style="198" bestFit="1" customWidth="1"/>
    <col min="5" max="7" width="11.33203125" style="198" customWidth="1"/>
    <col min="8" max="8" width="10.88671875" style="198" customWidth="1"/>
    <col min="9" max="9" width="12.44140625" style="198" customWidth="1"/>
    <col min="10" max="10" width="11.44140625" style="198" bestFit="1" customWidth="1"/>
    <col min="11" max="13" width="11.44140625" style="198" customWidth="1"/>
    <col min="14" max="14" width="11.44140625" style="199" customWidth="1"/>
    <col min="15" max="15" width="14.33203125" style="198" bestFit="1" customWidth="1"/>
    <col min="16" max="16" width="20" style="198" bestFit="1" customWidth="1"/>
    <col min="17" max="17" width="20" style="198" hidden="1" customWidth="1"/>
    <col min="18" max="20" width="12.6640625" style="198" customWidth="1"/>
    <col min="21" max="21" width="10.6640625" style="198" bestFit="1" customWidth="1"/>
    <col min="22" max="22" width="10.6640625" style="198" customWidth="1"/>
    <col min="23" max="23" width="13.88671875" style="199" customWidth="1"/>
    <col min="24" max="24" width="13.88671875" style="198" customWidth="1"/>
    <col min="25" max="25" width="11.33203125" style="198" bestFit="1" customWidth="1"/>
    <col min="26" max="26" width="10.6640625" style="200" bestFit="1" customWidth="1"/>
    <col min="27" max="27" width="15" style="199" bestFit="1" customWidth="1"/>
    <col min="28" max="28" width="17.109375" style="198" bestFit="1" customWidth="1"/>
    <col min="29" max="29" width="18.88671875" style="198" bestFit="1" customWidth="1"/>
    <col min="30" max="30" width="18.6640625" style="198" bestFit="1" customWidth="1"/>
    <col min="31" max="31" width="16.33203125" style="198" bestFit="1" customWidth="1"/>
    <col min="32" max="32" width="21.88671875" style="17" customWidth="1"/>
    <col min="33" max="33" width="16.33203125" bestFit="1" customWidth="1"/>
    <col min="37" max="37" width="102.44140625" bestFit="1" customWidth="1"/>
  </cols>
  <sheetData>
    <row r="1" spans="1:34" s="8" customFormat="1" ht="101.4" thickBot="1" x14ac:dyDescent="0.35">
      <c r="A1" s="9" t="s">
        <v>1</v>
      </c>
      <c r="B1" s="2" t="s">
        <v>67</v>
      </c>
      <c r="C1" s="3" t="s">
        <v>68</v>
      </c>
      <c r="D1" s="3" t="s">
        <v>69</v>
      </c>
      <c r="E1" s="4" t="s">
        <v>70</v>
      </c>
      <c r="F1" s="15" t="s">
        <v>166</v>
      </c>
      <c r="G1" s="15" t="s">
        <v>167</v>
      </c>
      <c r="H1" s="2" t="s">
        <v>71</v>
      </c>
      <c r="I1" s="5" t="s">
        <v>72</v>
      </c>
      <c r="J1" s="5" t="s">
        <v>73</v>
      </c>
      <c r="K1" s="5" t="s">
        <v>164</v>
      </c>
      <c r="L1" s="5" t="s">
        <v>163</v>
      </c>
      <c r="M1" s="5" t="s">
        <v>165</v>
      </c>
      <c r="N1" s="16" t="s">
        <v>168</v>
      </c>
      <c r="O1" s="5" t="s">
        <v>74</v>
      </c>
      <c r="P1" s="5" t="s">
        <v>75</v>
      </c>
      <c r="Q1" s="5" t="s">
        <v>221</v>
      </c>
      <c r="R1" s="5" t="s">
        <v>76</v>
      </c>
      <c r="S1" s="5" t="s">
        <v>222</v>
      </c>
      <c r="T1" s="5" t="s">
        <v>223</v>
      </c>
      <c r="U1" s="5" t="s">
        <v>77</v>
      </c>
      <c r="V1" s="5" t="s">
        <v>224</v>
      </c>
      <c r="W1" s="16" t="s">
        <v>225</v>
      </c>
      <c r="X1" s="5" t="s">
        <v>226</v>
      </c>
      <c r="Y1" s="4" t="s">
        <v>78</v>
      </c>
      <c r="Z1" s="10" t="s">
        <v>79</v>
      </c>
      <c r="AA1" s="6" t="s">
        <v>86</v>
      </c>
      <c r="AB1" s="6" t="s">
        <v>80</v>
      </c>
      <c r="AC1" s="5" t="s">
        <v>81</v>
      </c>
      <c r="AD1" s="6" t="s">
        <v>82</v>
      </c>
      <c r="AE1" s="203" t="s">
        <v>83</v>
      </c>
      <c r="AF1" s="205" t="s">
        <v>84</v>
      </c>
      <c r="AG1" s="204" t="s">
        <v>85</v>
      </c>
      <c r="AH1" s="7"/>
    </row>
    <row r="2" spans="1:34" x14ac:dyDescent="0.25">
      <c r="A2" s="201" t="s">
        <v>227</v>
      </c>
      <c r="B2" s="198" t="s">
        <v>227</v>
      </c>
      <c r="F2" s="198">
        <v>5</v>
      </c>
      <c r="O2" s="201"/>
      <c r="P2" s="202"/>
    </row>
    <row r="3" spans="1:34" x14ac:dyDescent="0.25">
      <c r="A3" s="201" t="s">
        <v>229</v>
      </c>
      <c r="B3" s="198" t="s">
        <v>229</v>
      </c>
      <c r="D3" s="198" t="s">
        <v>228</v>
      </c>
      <c r="E3" s="198">
        <v>5</v>
      </c>
      <c r="O3" s="202"/>
    </row>
    <row r="4" spans="1:34" x14ac:dyDescent="0.25">
      <c r="A4" s="201">
        <v>43089</v>
      </c>
      <c r="B4" s="198" t="s">
        <v>233</v>
      </c>
      <c r="C4" s="198">
        <v>0.25</v>
      </c>
      <c r="D4" s="198">
        <v>0.60416666666666663</v>
      </c>
      <c r="E4" s="198">
        <v>4</v>
      </c>
      <c r="F4" s="198">
        <v>5</v>
      </c>
      <c r="H4" s="198" t="s">
        <v>2</v>
      </c>
      <c r="I4" s="198">
        <v>2</v>
      </c>
      <c r="J4" s="198">
        <v>2222</v>
      </c>
      <c r="K4" s="198">
        <v>11</v>
      </c>
      <c r="L4" s="198">
        <v>2222</v>
      </c>
      <c r="M4" s="198">
        <v>22</v>
      </c>
      <c r="N4" s="199">
        <v>0.52083333333333337</v>
      </c>
      <c r="O4" s="201" t="s">
        <v>2</v>
      </c>
      <c r="P4" s="202" t="s">
        <v>2</v>
      </c>
      <c r="Q4" s="198" t="s">
        <v>230</v>
      </c>
      <c r="R4" s="198" t="s">
        <v>2</v>
      </c>
      <c r="S4" s="198" t="s">
        <v>230</v>
      </c>
      <c r="T4" s="198" t="s">
        <v>2</v>
      </c>
      <c r="U4" s="198" t="s">
        <v>230</v>
      </c>
      <c r="V4" s="198" t="s">
        <v>231</v>
      </c>
      <c r="W4" s="199" t="s">
        <v>232</v>
      </c>
      <c r="X4" s="198" t="s">
        <v>2</v>
      </c>
    </row>
    <row r="5" spans="1:34" x14ac:dyDescent="0.25">
      <c r="B5" s="198" t="s">
        <v>234</v>
      </c>
      <c r="F5" s="198">
        <v>5</v>
      </c>
      <c r="O5" s="201"/>
      <c r="P5" s="202"/>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A1:S203"/>
  <sheetViews>
    <sheetView showOutlineSymbols="0" zoomScale="75" workbookViewId="0">
      <selection activeCell="X20" sqref="X20"/>
    </sheetView>
  </sheetViews>
  <sheetFormatPr defaultColWidth="11.109375" defaultRowHeight="15" x14ac:dyDescent="0.25"/>
  <cols>
    <col min="1" max="1" width="4.6640625" style="147" customWidth="1"/>
    <col min="2" max="2" width="24" style="28" customWidth="1"/>
    <col min="3" max="3" width="7.5546875" style="28" customWidth="1"/>
    <col min="4" max="4" width="13.44140625" style="28" customWidth="1"/>
    <col min="5" max="5" width="11.109375" style="28" customWidth="1"/>
    <col min="6" max="6" width="16.33203125" style="28" customWidth="1"/>
    <col min="7" max="7" width="2.109375" style="28" customWidth="1"/>
    <col min="8" max="8" width="25.33203125" style="28" customWidth="1"/>
    <col min="9" max="9" width="4.33203125" style="28" customWidth="1"/>
    <col min="10" max="10" width="13.6640625" style="28" customWidth="1"/>
    <col min="11" max="11" width="13.88671875" style="28" customWidth="1"/>
    <col min="12" max="12" width="16.33203125" style="28" customWidth="1"/>
    <col min="13" max="13" width="2.109375" style="28" customWidth="1"/>
    <col min="14" max="14" width="42" style="28" customWidth="1"/>
    <col min="15" max="15" width="11.44140625" style="28" customWidth="1"/>
    <col min="16" max="16" width="8.5546875" style="28" customWidth="1"/>
    <col min="17" max="17" width="11.109375" style="28" customWidth="1"/>
    <col min="18" max="18" width="11.44140625" style="28" customWidth="1"/>
    <col min="19" max="19" width="18.88671875" style="28" customWidth="1"/>
    <col min="20" max="29" width="11.109375" style="28"/>
    <col min="30" max="30" width="13.6640625" style="28" customWidth="1"/>
    <col min="31" max="31" width="11.109375" style="28"/>
    <col min="32" max="32" width="13.6640625" style="28" customWidth="1"/>
    <col min="33" max="35" width="11.109375" style="28"/>
    <col min="36" max="36" width="7.33203125" style="28" customWidth="1"/>
    <col min="37" max="256" width="11.109375" style="28"/>
    <col min="257" max="257" width="4.6640625" style="28" customWidth="1"/>
    <col min="258" max="258" width="24" style="28" customWidth="1"/>
    <col min="259" max="259" width="7.5546875" style="28" customWidth="1"/>
    <col min="260" max="260" width="13.44140625" style="28" customWidth="1"/>
    <col min="261" max="261" width="11.109375" style="28" customWidth="1"/>
    <col min="262" max="262" width="16.33203125" style="28" customWidth="1"/>
    <col min="263" max="263" width="2.109375" style="28" customWidth="1"/>
    <col min="264" max="264" width="25.33203125" style="28" customWidth="1"/>
    <col min="265" max="265" width="4.33203125" style="28" customWidth="1"/>
    <col min="266" max="266" width="13.6640625" style="28" customWidth="1"/>
    <col min="267" max="267" width="13.88671875" style="28" customWidth="1"/>
    <col min="268" max="268" width="16.33203125" style="28" customWidth="1"/>
    <col min="269" max="269" width="2.109375" style="28" customWidth="1"/>
    <col min="270" max="270" width="42" style="28" customWidth="1"/>
    <col min="271" max="271" width="11.44140625" style="28" customWidth="1"/>
    <col min="272" max="272" width="8.5546875" style="28" customWidth="1"/>
    <col min="273" max="273" width="11.109375" style="28" customWidth="1"/>
    <col min="274" max="274" width="11.44140625" style="28" customWidth="1"/>
    <col min="275" max="275" width="18.88671875" style="28" customWidth="1"/>
    <col min="276" max="285" width="11.109375" style="28"/>
    <col min="286" max="286" width="13.6640625" style="28" customWidth="1"/>
    <col min="287" max="287" width="11.109375" style="28"/>
    <col min="288" max="288" width="13.6640625" style="28" customWidth="1"/>
    <col min="289" max="291" width="11.109375" style="28"/>
    <col min="292" max="292" width="7.33203125" style="28" customWidth="1"/>
    <col min="293" max="512" width="11.109375" style="28"/>
    <col min="513" max="513" width="4.6640625" style="28" customWidth="1"/>
    <col min="514" max="514" width="24" style="28" customWidth="1"/>
    <col min="515" max="515" width="7.5546875" style="28" customWidth="1"/>
    <col min="516" max="516" width="13.44140625" style="28" customWidth="1"/>
    <col min="517" max="517" width="11.109375" style="28" customWidth="1"/>
    <col min="518" max="518" width="16.33203125" style="28" customWidth="1"/>
    <col min="519" max="519" width="2.109375" style="28" customWidth="1"/>
    <col min="520" max="520" width="25.33203125" style="28" customWidth="1"/>
    <col min="521" max="521" width="4.33203125" style="28" customWidth="1"/>
    <col min="522" max="522" width="13.6640625" style="28" customWidth="1"/>
    <col min="523" max="523" width="13.88671875" style="28" customWidth="1"/>
    <col min="524" max="524" width="16.33203125" style="28" customWidth="1"/>
    <col min="525" max="525" width="2.109375" style="28" customWidth="1"/>
    <col min="526" max="526" width="42" style="28" customWidth="1"/>
    <col min="527" max="527" width="11.44140625" style="28" customWidth="1"/>
    <col min="528" max="528" width="8.5546875" style="28" customWidth="1"/>
    <col min="529" max="529" width="11.109375" style="28" customWidth="1"/>
    <col min="530" max="530" width="11.44140625" style="28" customWidth="1"/>
    <col min="531" max="531" width="18.88671875" style="28" customWidth="1"/>
    <col min="532" max="541" width="11.109375" style="28"/>
    <col min="542" max="542" width="13.6640625" style="28" customWidth="1"/>
    <col min="543" max="543" width="11.109375" style="28"/>
    <col min="544" max="544" width="13.6640625" style="28" customWidth="1"/>
    <col min="545" max="547" width="11.109375" style="28"/>
    <col min="548" max="548" width="7.33203125" style="28" customWidth="1"/>
    <col min="549" max="768" width="11.109375" style="28"/>
    <col min="769" max="769" width="4.6640625" style="28" customWidth="1"/>
    <col min="770" max="770" width="24" style="28" customWidth="1"/>
    <col min="771" max="771" width="7.5546875" style="28" customWidth="1"/>
    <col min="772" max="772" width="13.44140625" style="28" customWidth="1"/>
    <col min="773" max="773" width="11.109375" style="28" customWidth="1"/>
    <col min="774" max="774" width="16.33203125" style="28" customWidth="1"/>
    <col min="775" max="775" width="2.109375" style="28" customWidth="1"/>
    <col min="776" max="776" width="25.33203125" style="28" customWidth="1"/>
    <col min="777" max="777" width="4.33203125" style="28" customWidth="1"/>
    <col min="778" max="778" width="13.6640625" style="28" customWidth="1"/>
    <col min="779" max="779" width="13.88671875" style="28" customWidth="1"/>
    <col min="780" max="780" width="16.33203125" style="28" customWidth="1"/>
    <col min="781" max="781" width="2.109375" style="28" customWidth="1"/>
    <col min="782" max="782" width="42" style="28" customWidth="1"/>
    <col min="783" max="783" width="11.44140625" style="28" customWidth="1"/>
    <col min="784" max="784" width="8.5546875" style="28" customWidth="1"/>
    <col min="785" max="785" width="11.109375" style="28" customWidth="1"/>
    <col min="786" max="786" width="11.44140625" style="28" customWidth="1"/>
    <col min="787" max="787" width="18.88671875" style="28" customWidth="1"/>
    <col min="788" max="797" width="11.109375" style="28"/>
    <col min="798" max="798" width="13.6640625" style="28" customWidth="1"/>
    <col min="799" max="799" width="11.109375" style="28"/>
    <col min="800" max="800" width="13.6640625" style="28" customWidth="1"/>
    <col min="801" max="803" width="11.109375" style="28"/>
    <col min="804" max="804" width="7.33203125" style="28" customWidth="1"/>
    <col min="805" max="1024" width="11.109375" style="28"/>
    <col min="1025" max="1025" width="4.6640625" style="28" customWidth="1"/>
    <col min="1026" max="1026" width="24" style="28" customWidth="1"/>
    <col min="1027" max="1027" width="7.5546875" style="28" customWidth="1"/>
    <col min="1028" max="1028" width="13.44140625" style="28" customWidth="1"/>
    <col min="1029" max="1029" width="11.109375" style="28" customWidth="1"/>
    <col min="1030" max="1030" width="16.33203125" style="28" customWidth="1"/>
    <col min="1031" max="1031" width="2.109375" style="28" customWidth="1"/>
    <col min="1032" max="1032" width="25.33203125" style="28" customWidth="1"/>
    <col min="1033" max="1033" width="4.33203125" style="28" customWidth="1"/>
    <col min="1034" max="1034" width="13.6640625" style="28" customWidth="1"/>
    <col min="1035" max="1035" width="13.88671875" style="28" customWidth="1"/>
    <col min="1036" max="1036" width="16.33203125" style="28" customWidth="1"/>
    <col min="1037" max="1037" width="2.109375" style="28" customWidth="1"/>
    <col min="1038" max="1038" width="42" style="28" customWidth="1"/>
    <col min="1039" max="1039" width="11.44140625" style="28" customWidth="1"/>
    <col min="1040" max="1040" width="8.5546875" style="28" customWidth="1"/>
    <col min="1041" max="1041" width="11.109375" style="28" customWidth="1"/>
    <col min="1042" max="1042" width="11.44140625" style="28" customWidth="1"/>
    <col min="1043" max="1043" width="18.88671875" style="28" customWidth="1"/>
    <col min="1044" max="1053" width="11.109375" style="28"/>
    <col min="1054" max="1054" width="13.6640625" style="28" customWidth="1"/>
    <col min="1055" max="1055" width="11.109375" style="28"/>
    <col min="1056" max="1056" width="13.6640625" style="28" customWidth="1"/>
    <col min="1057" max="1059" width="11.109375" style="28"/>
    <col min="1060" max="1060" width="7.33203125" style="28" customWidth="1"/>
    <col min="1061" max="1280" width="11.109375" style="28"/>
    <col min="1281" max="1281" width="4.6640625" style="28" customWidth="1"/>
    <col min="1282" max="1282" width="24" style="28" customWidth="1"/>
    <col min="1283" max="1283" width="7.5546875" style="28" customWidth="1"/>
    <col min="1284" max="1284" width="13.44140625" style="28" customWidth="1"/>
    <col min="1285" max="1285" width="11.109375" style="28" customWidth="1"/>
    <col min="1286" max="1286" width="16.33203125" style="28" customWidth="1"/>
    <col min="1287" max="1287" width="2.109375" style="28" customWidth="1"/>
    <col min="1288" max="1288" width="25.33203125" style="28" customWidth="1"/>
    <col min="1289" max="1289" width="4.33203125" style="28" customWidth="1"/>
    <col min="1290" max="1290" width="13.6640625" style="28" customWidth="1"/>
    <col min="1291" max="1291" width="13.88671875" style="28" customWidth="1"/>
    <col min="1292" max="1292" width="16.33203125" style="28" customWidth="1"/>
    <col min="1293" max="1293" width="2.109375" style="28" customWidth="1"/>
    <col min="1294" max="1294" width="42" style="28" customWidth="1"/>
    <col min="1295" max="1295" width="11.44140625" style="28" customWidth="1"/>
    <col min="1296" max="1296" width="8.5546875" style="28" customWidth="1"/>
    <col min="1297" max="1297" width="11.109375" style="28" customWidth="1"/>
    <col min="1298" max="1298" width="11.44140625" style="28" customWidth="1"/>
    <col min="1299" max="1299" width="18.88671875" style="28" customWidth="1"/>
    <col min="1300" max="1309" width="11.109375" style="28"/>
    <col min="1310" max="1310" width="13.6640625" style="28" customWidth="1"/>
    <col min="1311" max="1311" width="11.109375" style="28"/>
    <col min="1312" max="1312" width="13.6640625" style="28" customWidth="1"/>
    <col min="1313" max="1315" width="11.109375" style="28"/>
    <col min="1316" max="1316" width="7.33203125" style="28" customWidth="1"/>
    <col min="1317" max="1536" width="11.109375" style="28"/>
    <col min="1537" max="1537" width="4.6640625" style="28" customWidth="1"/>
    <col min="1538" max="1538" width="24" style="28" customWidth="1"/>
    <col min="1539" max="1539" width="7.5546875" style="28" customWidth="1"/>
    <col min="1540" max="1540" width="13.44140625" style="28" customWidth="1"/>
    <col min="1541" max="1541" width="11.109375" style="28" customWidth="1"/>
    <col min="1542" max="1542" width="16.33203125" style="28" customWidth="1"/>
    <col min="1543" max="1543" width="2.109375" style="28" customWidth="1"/>
    <col min="1544" max="1544" width="25.33203125" style="28" customWidth="1"/>
    <col min="1545" max="1545" width="4.33203125" style="28" customWidth="1"/>
    <col min="1546" max="1546" width="13.6640625" style="28" customWidth="1"/>
    <col min="1547" max="1547" width="13.88671875" style="28" customWidth="1"/>
    <col min="1548" max="1548" width="16.33203125" style="28" customWidth="1"/>
    <col min="1549" max="1549" width="2.109375" style="28" customWidth="1"/>
    <col min="1550" max="1550" width="42" style="28" customWidth="1"/>
    <col min="1551" max="1551" width="11.44140625" style="28" customWidth="1"/>
    <col min="1552" max="1552" width="8.5546875" style="28" customWidth="1"/>
    <col min="1553" max="1553" width="11.109375" style="28" customWidth="1"/>
    <col min="1554" max="1554" width="11.44140625" style="28" customWidth="1"/>
    <col min="1555" max="1555" width="18.88671875" style="28" customWidth="1"/>
    <col min="1556" max="1565" width="11.109375" style="28"/>
    <col min="1566" max="1566" width="13.6640625" style="28" customWidth="1"/>
    <col min="1567" max="1567" width="11.109375" style="28"/>
    <col min="1568" max="1568" width="13.6640625" style="28" customWidth="1"/>
    <col min="1569" max="1571" width="11.109375" style="28"/>
    <col min="1572" max="1572" width="7.33203125" style="28" customWidth="1"/>
    <col min="1573" max="1792" width="11.109375" style="28"/>
    <col min="1793" max="1793" width="4.6640625" style="28" customWidth="1"/>
    <col min="1794" max="1794" width="24" style="28" customWidth="1"/>
    <col min="1795" max="1795" width="7.5546875" style="28" customWidth="1"/>
    <col min="1796" max="1796" width="13.44140625" style="28" customWidth="1"/>
    <col min="1797" max="1797" width="11.109375" style="28" customWidth="1"/>
    <col min="1798" max="1798" width="16.33203125" style="28" customWidth="1"/>
    <col min="1799" max="1799" width="2.109375" style="28" customWidth="1"/>
    <col min="1800" max="1800" width="25.33203125" style="28" customWidth="1"/>
    <col min="1801" max="1801" width="4.33203125" style="28" customWidth="1"/>
    <col min="1802" max="1802" width="13.6640625" style="28" customWidth="1"/>
    <col min="1803" max="1803" width="13.88671875" style="28" customWidth="1"/>
    <col min="1804" max="1804" width="16.33203125" style="28" customWidth="1"/>
    <col min="1805" max="1805" width="2.109375" style="28" customWidth="1"/>
    <col min="1806" max="1806" width="42" style="28" customWidth="1"/>
    <col min="1807" max="1807" width="11.44140625" style="28" customWidth="1"/>
    <col min="1808" max="1808" width="8.5546875" style="28" customWidth="1"/>
    <col min="1809" max="1809" width="11.109375" style="28" customWidth="1"/>
    <col min="1810" max="1810" width="11.44140625" style="28" customWidth="1"/>
    <col min="1811" max="1811" width="18.88671875" style="28" customWidth="1"/>
    <col min="1812" max="1821" width="11.109375" style="28"/>
    <col min="1822" max="1822" width="13.6640625" style="28" customWidth="1"/>
    <col min="1823" max="1823" width="11.109375" style="28"/>
    <col min="1824" max="1824" width="13.6640625" style="28" customWidth="1"/>
    <col min="1825" max="1827" width="11.109375" style="28"/>
    <col min="1828" max="1828" width="7.33203125" style="28" customWidth="1"/>
    <col min="1829" max="2048" width="11.109375" style="28"/>
    <col min="2049" max="2049" width="4.6640625" style="28" customWidth="1"/>
    <col min="2050" max="2050" width="24" style="28" customWidth="1"/>
    <col min="2051" max="2051" width="7.5546875" style="28" customWidth="1"/>
    <col min="2052" max="2052" width="13.44140625" style="28" customWidth="1"/>
    <col min="2053" max="2053" width="11.109375" style="28" customWidth="1"/>
    <col min="2054" max="2054" width="16.33203125" style="28" customWidth="1"/>
    <col min="2055" max="2055" width="2.109375" style="28" customWidth="1"/>
    <col min="2056" max="2056" width="25.33203125" style="28" customWidth="1"/>
    <col min="2057" max="2057" width="4.33203125" style="28" customWidth="1"/>
    <col min="2058" max="2058" width="13.6640625" style="28" customWidth="1"/>
    <col min="2059" max="2059" width="13.88671875" style="28" customWidth="1"/>
    <col min="2060" max="2060" width="16.33203125" style="28" customWidth="1"/>
    <col min="2061" max="2061" width="2.109375" style="28" customWidth="1"/>
    <col min="2062" max="2062" width="42" style="28" customWidth="1"/>
    <col min="2063" max="2063" width="11.44140625" style="28" customWidth="1"/>
    <col min="2064" max="2064" width="8.5546875" style="28" customWidth="1"/>
    <col min="2065" max="2065" width="11.109375" style="28" customWidth="1"/>
    <col min="2066" max="2066" width="11.44140625" style="28" customWidth="1"/>
    <col min="2067" max="2067" width="18.88671875" style="28" customWidth="1"/>
    <col min="2068" max="2077" width="11.109375" style="28"/>
    <col min="2078" max="2078" width="13.6640625" style="28" customWidth="1"/>
    <col min="2079" max="2079" width="11.109375" style="28"/>
    <col min="2080" max="2080" width="13.6640625" style="28" customWidth="1"/>
    <col min="2081" max="2083" width="11.109375" style="28"/>
    <col min="2084" max="2084" width="7.33203125" style="28" customWidth="1"/>
    <col min="2085" max="2304" width="11.109375" style="28"/>
    <col min="2305" max="2305" width="4.6640625" style="28" customWidth="1"/>
    <col min="2306" max="2306" width="24" style="28" customWidth="1"/>
    <col min="2307" max="2307" width="7.5546875" style="28" customWidth="1"/>
    <col min="2308" max="2308" width="13.44140625" style="28" customWidth="1"/>
    <col min="2309" max="2309" width="11.109375" style="28" customWidth="1"/>
    <col min="2310" max="2310" width="16.33203125" style="28" customWidth="1"/>
    <col min="2311" max="2311" width="2.109375" style="28" customWidth="1"/>
    <col min="2312" max="2312" width="25.33203125" style="28" customWidth="1"/>
    <col min="2313" max="2313" width="4.33203125" style="28" customWidth="1"/>
    <col min="2314" max="2314" width="13.6640625" style="28" customWidth="1"/>
    <col min="2315" max="2315" width="13.88671875" style="28" customWidth="1"/>
    <col min="2316" max="2316" width="16.33203125" style="28" customWidth="1"/>
    <col min="2317" max="2317" width="2.109375" style="28" customWidth="1"/>
    <col min="2318" max="2318" width="42" style="28" customWidth="1"/>
    <col min="2319" max="2319" width="11.44140625" style="28" customWidth="1"/>
    <col min="2320" max="2320" width="8.5546875" style="28" customWidth="1"/>
    <col min="2321" max="2321" width="11.109375" style="28" customWidth="1"/>
    <col min="2322" max="2322" width="11.44140625" style="28" customWidth="1"/>
    <col min="2323" max="2323" width="18.88671875" style="28" customWidth="1"/>
    <col min="2324" max="2333" width="11.109375" style="28"/>
    <col min="2334" max="2334" width="13.6640625" style="28" customWidth="1"/>
    <col min="2335" max="2335" width="11.109375" style="28"/>
    <col min="2336" max="2336" width="13.6640625" style="28" customWidth="1"/>
    <col min="2337" max="2339" width="11.109375" style="28"/>
    <col min="2340" max="2340" width="7.33203125" style="28" customWidth="1"/>
    <col min="2341" max="2560" width="11.109375" style="28"/>
    <col min="2561" max="2561" width="4.6640625" style="28" customWidth="1"/>
    <col min="2562" max="2562" width="24" style="28" customWidth="1"/>
    <col min="2563" max="2563" width="7.5546875" style="28" customWidth="1"/>
    <col min="2564" max="2564" width="13.44140625" style="28" customWidth="1"/>
    <col min="2565" max="2565" width="11.109375" style="28" customWidth="1"/>
    <col min="2566" max="2566" width="16.33203125" style="28" customWidth="1"/>
    <col min="2567" max="2567" width="2.109375" style="28" customWidth="1"/>
    <col min="2568" max="2568" width="25.33203125" style="28" customWidth="1"/>
    <col min="2569" max="2569" width="4.33203125" style="28" customWidth="1"/>
    <col min="2570" max="2570" width="13.6640625" style="28" customWidth="1"/>
    <col min="2571" max="2571" width="13.88671875" style="28" customWidth="1"/>
    <col min="2572" max="2572" width="16.33203125" style="28" customWidth="1"/>
    <col min="2573" max="2573" width="2.109375" style="28" customWidth="1"/>
    <col min="2574" max="2574" width="42" style="28" customWidth="1"/>
    <col min="2575" max="2575" width="11.44140625" style="28" customWidth="1"/>
    <col min="2576" max="2576" width="8.5546875" style="28" customWidth="1"/>
    <col min="2577" max="2577" width="11.109375" style="28" customWidth="1"/>
    <col min="2578" max="2578" width="11.44140625" style="28" customWidth="1"/>
    <col min="2579" max="2579" width="18.88671875" style="28" customWidth="1"/>
    <col min="2580" max="2589" width="11.109375" style="28"/>
    <col min="2590" max="2590" width="13.6640625" style="28" customWidth="1"/>
    <col min="2591" max="2591" width="11.109375" style="28"/>
    <col min="2592" max="2592" width="13.6640625" style="28" customWidth="1"/>
    <col min="2593" max="2595" width="11.109375" style="28"/>
    <col min="2596" max="2596" width="7.33203125" style="28" customWidth="1"/>
    <col min="2597" max="2816" width="11.109375" style="28"/>
    <col min="2817" max="2817" width="4.6640625" style="28" customWidth="1"/>
    <col min="2818" max="2818" width="24" style="28" customWidth="1"/>
    <col min="2819" max="2819" width="7.5546875" style="28" customWidth="1"/>
    <col min="2820" max="2820" width="13.44140625" style="28" customWidth="1"/>
    <col min="2821" max="2821" width="11.109375" style="28" customWidth="1"/>
    <col min="2822" max="2822" width="16.33203125" style="28" customWidth="1"/>
    <col min="2823" max="2823" width="2.109375" style="28" customWidth="1"/>
    <col min="2824" max="2824" width="25.33203125" style="28" customWidth="1"/>
    <col min="2825" max="2825" width="4.33203125" style="28" customWidth="1"/>
    <col min="2826" max="2826" width="13.6640625" style="28" customWidth="1"/>
    <col min="2827" max="2827" width="13.88671875" style="28" customWidth="1"/>
    <col min="2828" max="2828" width="16.33203125" style="28" customWidth="1"/>
    <col min="2829" max="2829" width="2.109375" style="28" customWidth="1"/>
    <col min="2830" max="2830" width="42" style="28" customWidth="1"/>
    <col min="2831" max="2831" width="11.44140625" style="28" customWidth="1"/>
    <col min="2832" max="2832" width="8.5546875" style="28" customWidth="1"/>
    <col min="2833" max="2833" width="11.109375" style="28" customWidth="1"/>
    <col min="2834" max="2834" width="11.44140625" style="28" customWidth="1"/>
    <col min="2835" max="2835" width="18.88671875" style="28" customWidth="1"/>
    <col min="2836" max="2845" width="11.109375" style="28"/>
    <col min="2846" max="2846" width="13.6640625" style="28" customWidth="1"/>
    <col min="2847" max="2847" width="11.109375" style="28"/>
    <col min="2848" max="2848" width="13.6640625" style="28" customWidth="1"/>
    <col min="2849" max="2851" width="11.109375" style="28"/>
    <col min="2852" max="2852" width="7.33203125" style="28" customWidth="1"/>
    <col min="2853" max="3072" width="11.109375" style="28"/>
    <col min="3073" max="3073" width="4.6640625" style="28" customWidth="1"/>
    <col min="3074" max="3074" width="24" style="28" customWidth="1"/>
    <col min="3075" max="3075" width="7.5546875" style="28" customWidth="1"/>
    <col min="3076" max="3076" width="13.44140625" style="28" customWidth="1"/>
    <col min="3077" max="3077" width="11.109375" style="28" customWidth="1"/>
    <col min="3078" max="3078" width="16.33203125" style="28" customWidth="1"/>
    <col min="3079" max="3079" width="2.109375" style="28" customWidth="1"/>
    <col min="3080" max="3080" width="25.33203125" style="28" customWidth="1"/>
    <col min="3081" max="3081" width="4.33203125" style="28" customWidth="1"/>
    <col min="3082" max="3082" width="13.6640625" style="28" customWidth="1"/>
    <col min="3083" max="3083" width="13.88671875" style="28" customWidth="1"/>
    <col min="3084" max="3084" width="16.33203125" style="28" customWidth="1"/>
    <col min="3085" max="3085" width="2.109375" style="28" customWidth="1"/>
    <col min="3086" max="3086" width="42" style="28" customWidth="1"/>
    <col min="3087" max="3087" width="11.44140625" style="28" customWidth="1"/>
    <col min="3088" max="3088" width="8.5546875" style="28" customWidth="1"/>
    <col min="3089" max="3089" width="11.109375" style="28" customWidth="1"/>
    <col min="3090" max="3090" width="11.44140625" style="28" customWidth="1"/>
    <col min="3091" max="3091" width="18.88671875" style="28" customWidth="1"/>
    <col min="3092" max="3101" width="11.109375" style="28"/>
    <col min="3102" max="3102" width="13.6640625" style="28" customWidth="1"/>
    <col min="3103" max="3103" width="11.109375" style="28"/>
    <col min="3104" max="3104" width="13.6640625" style="28" customWidth="1"/>
    <col min="3105" max="3107" width="11.109375" style="28"/>
    <col min="3108" max="3108" width="7.33203125" style="28" customWidth="1"/>
    <col min="3109" max="3328" width="11.109375" style="28"/>
    <col min="3329" max="3329" width="4.6640625" style="28" customWidth="1"/>
    <col min="3330" max="3330" width="24" style="28" customWidth="1"/>
    <col min="3331" max="3331" width="7.5546875" style="28" customWidth="1"/>
    <col min="3332" max="3332" width="13.44140625" style="28" customWidth="1"/>
    <col min="3333" max="3333" width="11.109375" style="28" customWidth="1"/>
    <col min="3334" max="3334" width="16.33203125" style="28" customWidth="1"/>
    <col min="3335" max="3335" width="2.109375" style="28" customWidth="1"/>
    <col min="3336" max="3336" width="25.33203125" style="28" customWidth="1"/>
    <col min="3337" max="3337" width="4.33203125" style="28" customWidth="1"/>
    <col min="3338" max="3338" width="13.6640625" style="28" customWidth="1"/>
    <col min="3339" max="3339" width="13.88671875" style="28" customWidth="1"/>
    <col min="3340" max="3340" width="16.33203125" style="28" customWidth="1"/>
    <col min="3341" max="3341" width="2.109375" style="28" customWidth="1"/>
    <col min="3342" max="3342" width="42" style="28" customWidth="1"/>
    <col min="3343" max="3343" width="11.44140625" style="28" customWidth="1"/>
    <col min="3344" max="3344" width="8.5546875" style="28" customWidth="1"/>
    <col min="3345" max="3345" width="11.109375" style="28" customWidth="1"/>
    <col min="3346" max="3346" width="11.44140625" style="28" customWidth="1"/>
    <col min="3347" max="3347" width="18.88671875" style="28" customWidth="1"/>
    <col min="3348" max="3357" width="11.109375" style="28"/>
    <col min="3358" max="3358" width="13.6640625" style="28" customWidth="1"/>
    <col min="3359" max="3359" width="11.109375" style="28"/>
    <col min="3360" max="3360" width="13.6640625" style="28" customWidth="1"/>
    <col min="3361" max="3363" width="11.109375" style="28"/>
    <col min="3364" max="3364" width="7.33203125" style="28" customWidth="1"/>
    <col min="3365" max="3584" width="11.109375" style="28"/>
    <col min="3585" max="3585" width="4.6640625" style="28" customWidth="1"/>
    <col min="3586" max="3586" width="24" style="28" customWidth="1"/>
    <col min="3587" max="3587" width="7.5546875" style="28" customWidth="1"/>
    <col min="3588" max="3588" width="13.44140625" style="28" customWidth="1"/>
    <col min="3589" max="3589" width="11.109375" style="28" customWidth="1"/>
    <col min="3590" max="3590" width="16.33203125" style="28" customWidth="1"/>
    <col min="3591" max="3591" width="2.109375" style="28" customWidth="1"/>
    <col min="3592" max="3592" width="25.33203125" style="28" customWidth="1"/>
    <col min="3593" max="3593" width="4.33203125" style="28" customWidth="1"/>
    <col min="3594" max="3594" width="13.6640625" style="28" customWidth="1"/>
    <col min="3595" max="3595" width="13.88671875" style="28" customWidth="1"/>
    <col min="3596" max="3596" width="16.33203125" style="28" customWidth="1"/>
    <col min="3597" max="3597" width="2.109375" style="28" customWidth="1"/>
    <col min="3598" max="3598" width="42" style="28" customWidth="1"/>
    <col min="3599" max="3599" width="11.44140625" style="28" customWidth="1"/>
    <col min="3600" max="3600" width="8.5546875" style="28" customWidth="1"/>
    <col min="3601" max="3601" width="11.109375" style="28" customWidth="1"/>
    <col min="3602" max="3602" width="11.44140625" style="28" customWidth="1"/>
    <col min="3603" max="3603" width="18.88671875" style="28" customWidth="1"/>
    <col min="3604" max="3613" width="11.109375" style="28"/>
    <col min="3614" max="3614" width="13.6640625" style="28" customWidth="1"/>
    <col min="3615" max="3615" width="11.109375" style="28"/>
    <col min="3616" max="3616" width="13.6640625" style="28" customWidth="1"/>
    <col min="3617" max="3619" width="11.109375" style="28"/>
    <col min="3620" max="3620" width="7.33203125" style="28" customWidth="1"/>
    <col min="3621" max="3840" width="11.109375" style="28"/>
    <col min="3841" max="3841" width="4.6640625" style="28" customWidth="1"/>
    <col min="3842" max="3842" width="24" style="28" customWidth="1"/>
    <col min="3843" max="3843" width="7.5546875" style="28" customWidth="1"/>
    <col min="3844" max="3844" width="13.44140625" style="28" customWidth="1"/>
    <col min="3845" max="3845" width="11.109375" style="28" customWidth="1"/>
    <col min="3846" max="3846" width="16.33203125" style="28" customWidth="1"/>
    <col min="3847" max="3847" width="2.109375" style="28" customWidth="1"/>
    <col min="3848" max="3848" width="25.33203125" style="28" customWidth="1"/>
    <col min="3849" max="3849" width="4.33203125" style="28" customWidth="1"/>
    <col min="3850" max="3850" width="13.6640625" style="28" customWidth="1"/>
    <col min="3851" max="3851" width="13.88671875" style="28" customWidth="1"/>
    <col min="3852" max="3852" width="16.33203125" style="28" customWidth="1"/>
    <col min="3853" max="3853" width="2.109375" style="28" customWidth="1"/>
    <col min="3854" max="3854" width="42" style="28" customWidth="1"/>
    <col min="3855" max="3855" width="11.44140625" style="28" customWidth="1"/>
    <col min="3856" max="3856" width="8.5546875" style="28" customWidth="1"/>
    <col min="3857" max="3857" width="11.109375" style="28" customWidth="1"/>
    <col min="3858" max="3858" width="11.44140625" style="28" customWidth="1"/>
    <col min="3859" max="3859" width="18.88671875" style="28" customWidth="1"/>
    <col min="3860" max="3869" width="11.109375" style="28"/>
    <col min="3870" max="3870" width="13.6640625" style="28" customWidth="1"/>
    <col min="3871" max="3871" width="11.109375" style="28"/>
    <col min="3872" max="3872" width="13.6640625" style="28" customWidth="1"/>
    <col min="3873" max="3875" width="11.109375" style="28"/>
    <col min="3876" max="3876" width="7.33203125" style="28" customWidth="1"/>
    <col min="3877" max="4096" width="11.109375" style="28"/>
    <col min="4097" max="4097" width="4.6640625" style="28" customWidth="1"/>
    <col min="4098" max="4098" width="24" style="28" customWidth="1"/>
    <col min="4099" max="4099" width="7.5546875" style="28" customWidth="1"/>
    <col min="4100" max="4100" width="13.44140625" style="28" customWidth="1"/>
    <col min="4101" max="4101" width="11.109375" style="28" customWidth="1"/>
    <col min="4102" max="4102" width="16.33203125" style="28" customWidth="1"/>
    <col min="4103" max="4103" width="2.109375" style="28" customWidth="1"/>
    <col min="4104" max="4104" width="25.33203125" style="28" customWidth="1"/>
    <col min="4105" max="4105" width="4.33203125" style="28" customWidth="1"/>
    <col min="4106" max="4106" width="13.6640625" style="28" customWidth="1"/>
    <col min="4107" max="4107" width="13.88671875" style="28" customWidth="1"/>
    <col min="4108" max="4108" width="16.33203125" style="28" customWidth="1"/>
    <col min="4109" max="4109" width="2.109375" style="28" customWidth="1"/>
    <col min="4110" max="4110" width="42" style="28" customWidth="1"/>
    <col min="4111" max="4111" width="11.44140625" style="28" customWidth="1"/>
    <col min="4112" max="4112" width="8.5546875" style="28" customWidth="1"/>
    <col min="4113" max="4113" width="11.109375" style="28" customWidth="1"/>
    <col min="4114" max="4114" width="11.44140625" style="28" customWidth="1"/>
    <col min="4115" max="4115" width="18.88671875" style="28" customWidth="1"/>
    <col min="4116" max="4125" width="11.109375" style="28"/>
    <col min="4126" max="4126" width="13.6640625" style="28" customWidth="1"/>
    <col min="4127" max="4127" width="11.109375" style="28"/>
    <col min="4128" max="4128" width="13.6640625" style="28" customWidth="1"/>
    <col min="4129" max="4131" width="11.109375" style="28"/>
    <col min="4132" max="4132" width="7.33203125" style="28" customWidth="1"/>
    <col min="4133" max="4352" width="11.109375" style="28"/>
    <col min="4353" max="4353" width="4.6640625" style="28" customWidth="1"/>
    <col min="4354" max="4354" width="24" style="28" customWidth="1"/>
    <col min="4355" max="4355" width="7.5546875" style="28" customWidth="1"/>
    <col min="4356" max="4356" width="13.44140625" style="28" customWidth="1"/>
    <col min="4357" max="4357" width="11.109375" style="28" customWidth="1"/>
    <col min="4358" max="4358" width="16.33203125" style="28" customWidth="1"/>
    <col min="4359" max="4359" width="2.109375" style="28" customWidth="1"/>
    <col min="4360" max="4360" width="25.33203125" style="28" customWidth="1"/>
    <col min="4361" max="4361" width="4.33203125" style="28" customWidth="1"/>
    <col min="4362" max="4362" width="13.6640625" style="28" customWidth="1"/>
    <col min="4363" max="4363" width="13.88671875" style="28" customWidth="1"/>
    <col min="4364" max="4364" width="16.33203125" style="28" customWidth="1"/>
    <col min="4365" max="4365" width="2.109375" style="28" customWidth="1"/>
    <col min="4366" max="4366" width="42" style="28" customWidth="1"/>
    <col min="4367" max="4367" width="11.44140625" style="28" customWidth="1"/>
    <col min="4368" max="4368" width="8.5546875" style="28" customWidth="1"/>
    <col min="4369" max="4369" width="11.109375" style="28" customWidth="1"/>
    <col min="4370" max="4370" width="11.44140625" style="28" customWidth="1"/>
    <col min="4371" max="4371" width="18.88671875" style="28" customWidth="1"/>
    <col min="4372" max="4381" width="11.109375" style="28"/>
    <col min="4382" max="4382" width="13.6640625" style="28" customWidth="1"/>
    <col min="4383" max="4383" width="11.109375" style="28"/>
    <col min="4384" max="4384" width="13.6640625" style="28" customWidth="1"/>
    <col min="4385" max="4387" width="11.109375" style="28"/>
    <col min="4388" max="4388" width="7.33203125" style="28" customWidth="1"/>
    <col min="4389" max="4608" width="11.109375" style="28"/>
    <col min="4609" max="4609" width="4.6640625" style="28" customWidth="1"/>
    <col min="4610" max="4610" width="24" style="28" customWidth="1"/>
    <col min="4611" max="4611" width="7.5546875" style="28" customWidth="1"/>
    <col min="4612" max="4612" width="13.44140625" style="28" customWidth="1"/>
    <col min="4613" max="4613" width="11.109375" style="28" customWidth="1"/>
    <col min="4614" max="4614" width="16.33203125" style="28" customWidth="1"/>
    <col min="4615" max="4615" width="2.109375" style="28" customWidth="1"/>
    <col min="4616" max="4616" width="25.33203125" style="28" customWidth="1"/>
    <col min="4617" max="4617" width="4.33203125" style="28" customWidth="1"/>
    <col min="4618" max="4618" width="13.6640625" style="28" customWidth="1"/>
    <col min="4619" max="4619" width="13.88671875" style="28" customWidth="1"/>
    <col min="4620" max="4620" width="16.33203125" style="28" customWidth="1"/>
    <col min="4621" max="4621" width="2.109375" style="28" customWidth="1"/>
    <col min="4622" max="4622" width="42" style="28" customWidth="1"/>
    <col min="4623" max="4623" width="11.44140625" style="28" customWidth="1"/>
    <col min="4624" max="4624" width="8.5546875" style="28" customWidth="1"/>
    <col min="4625" max="4625" width="11.109375" style="28" customWidth="1"/>
    <col min="4626" max="4626" width="11.44140625" style="28" customWidth="1"/>
    <col min="4627" max="4627" width="18.88671875" style="28" customWidth="1"/>
    <col min="4628" max="4637" width="11.109375" style="28"/>
    <col min="4638" max="4638" width="13.6640625" style="28" customWidth="1"/>
    <col min="4639" max="4639" width="11.109375" style="28"/>
    <col min="4640" max="4640" width="13.6640625" style="28" customWidth="1"/>
    <col min="4641" max="4643" width="11.109375" style="28"/>
    <col min="4644" max="4644" width="7.33203125" style="28" customWidth="1"/>
    <col min="4645" max="4864" width="11.109375" style="28"/>
    <col min="4865" max="4865" width="4.6640625" style="28" customWidth="1"/>
    <col min="4866" max="4866" width="24" style="28" customWidth="1"/>
    <col min="4867" max="4867" width="7.5546875" style="28" customWidth="1"/>
    <col min="4868" max="4868" width="13.44140625" style="28" customWidth="1"/>
    <col min="4869" max="4869" width="11.109375" style="28" customWidth="1"/>
    <col min="4870" max="4870" width="16.33203125" style="28" customWidth="1"/>
    <col min="4871" max="4871" width="2.109375" style="28" customWidth="1"/>
    <col min="4872" max="4872" width="25.33203125" style="28" customWidth="1"/>
    <col min="4873" max="4873" width="4.33203125" style="28" customWidth="1"/>
    <col min="4874" max="4874" width="13.6640625" style="28" customWidth="1"/>
    <col min="4875" max="4875" width="13.88671875" style="28" customWidth="1"/>
    <col min="4876" max="4876" width="16.33203125" style="28" customWidth="1"/>
    <col min="4877" max="4877" width="2.109375" style="28" customWidth="1"/>
    <col min="4878" max="4878" width="42" style="28" customWidth="1"/>
    <col min="4879" max="4879" width="11.44140625" style="28" customWidth="1"/>
    <col min="4880" max="4880" width="8.5546875" style="28" customWidth="1"/>
    <col min="4881" max="4881" width="11.109375" style="28" customWidth="1"/>
    <col min="4882" max="4882" width="11.44140625" style="28" customWidth="1"/>
    <col min="4883" max="4883" width="18.88671875" style="28" customWidth="1"/>
    <col min="4884" max="4893" width="11.109375" style="28"/>
    <col min="4894" max="4894" width="13.6640625" style="28" customWidth="1"/>
    <col min="4895" max="4895" width="11.109375" style="28"/>
    <col min="4896" max="4896" width="13.6640625" style="28" customWidth="1"/>
    <col min="4897" max="4899" width="11.109375" style="28"/>
    <col min="4900" max="4900" width="7.33203125" style="28" customWidth="1"/>
    <col min="4901" max="5120" width="11.109375" style="28"/>
    <col min="5121" max="5121" width="4.6640625" style="28" customWidth="1"/>
    <col min="5122" max="5122" width="24" style="28" customWidth="1"/>
    <col min="5123" max="5123" width="7.5546875" style="28" customWidth="1"/>
    <col min="5124" max="5124" width="13.44140625" style="28" customWidth="1"/>
    <col min="5125" max="5125" width="11.109375" style="28" customWidth="1"/>
    <col min="5126" max="5126" width="16.33203125" style="28" customWidth="1"/>
    <col min="5127" max="5127" width="2.109375" style="28" customWidth="1"/>
    <col min="5128" max="5128" width="25.33203125" style="28" customWidth="1"/>
    <col min="5129" max="5129" width="4.33203125" style="28" customWidth="1"/>
    <col min="5130" max="5130" width="13.6640625" style="28" customWidth="1"/>
    <col min="5131" max="5131" width="13.88671875" style="28" customWidth="1"/>
    <col min="5132" max="5132" width="16.33203125" style="28" customWidth="1"/>
    <col min="5133" max="5133" width="2.109375" style="28" customWidth="1"/>
    <col min="5134" max="5134" width="42" style="28" customWidth="1"/>
    <col min="5135" max="5135" width="11.44140625" style="28" customWidth="1"/>
    <col min="5136" max="5136" width="8.5546875" style="28" customWidth="1"/>
    <col min="5137" max="5137" width="11.109375" style="28" customWidth="1"/>
    <col min="5138" max="5138" width="11.44140625" style="28" customWidth="1"/>
    <col min="5139" max="5139" width="18.88671875" style="28" customWidth="1"/>
    <col min="5140" max="5149" width="11.109375" style="28"/>
    <col min="5150" max="5150" width="13.6640625" style="28" customWidth="1"/>
    <col min="5151" max="5151" width="11.109375" style="28"/>
    <col min="5152" max="5152" width="13.6640625" style="28" customWidth="1"/>
    <col min="5153" max="5155" width="11.109375" style="28"/>
    <col min="5156" max="5156" width="7.33203125" style="28" customWidth="1"/>
    <col min="5157" max="5376" width="11.109375" style="28"/>
    <col min="5377" max="5377" width="4.6640625" style="28" customWidth="1"/>
    <col min="5378" max="5378" width="24" style="28" customWidth="1"/>
    <col min="5379" max="5379" width="7.5546875" style="28" customWidth="1"/>
    <col min="5380" max="5380" width="13.44140625" style="28" customWidth="1"/>
    <col min="5381" max="5381" width="11.109375" style="28" customWidth="1"/>
    <col min="5382" max="5382" width="16.33203125" style="28" customWidth="1"/>
    <col min="5383" max="5383" width="2.109375" style="28" customWidth="1"/>
    <col min="5384" max="5384" width="25.33203125" style="28" customWidth="1"/>
    <col min="5385" max="5385" width="4.33203125" style="28" customWidth="1"/>
    <col min="5386" max="5386" width="13.6640625" style="28" customWidth="1"/>
    <col min="5387" max="5387" width="13.88671875" style="28" customWidth="1"/>
    <col min="5388" max="5388" width="16.33203125" style="28" customWidth="1"/>
    <col min="5389" max="5389" width="2.109375" style="28" customWidth="1"/>
    <col min="5390" max="5390" width="42" style="28" customWidth="1"/>
    <col min="5391" max="5391" width="11.44140625" style="28" customWidth="1"/>
    <col min="5392" max="5392" width="8.5546875" style="28" customWidth="1"/>
    <col min="5393" max="5393" width="11.109375" style="28" customWidth="1"/>
    <col min="5394" max="5394" width="11.44140625" style="28" customWidth="1"/>
    <col min="5395" max="5395" width="18.88671875" style="28" customWidth="1"/>
    <col min="5396" max="5405" width="11.109375" style="28"/>
    <col min="5406" max="5406" width="13.6640625" style="28" customWidth="1"/>
    <col min="5407" max="5407" width="11.109375" style="28"/>
    <col min="5408" max="5408" width="13.6640625" style="28" customWidth="1"/>
    <col min="5409" max="5411" width="11.109375" style="28"/>
    <col min="5412" max="5412" width="7.33203125" style="28" customWidth="1"/>
    <col min="5413" max="5632" width="11.109375" style="28"/>
    <col min="5633" max="5633" width="4.6640625" style="28" customWidth="1"/>
    <col min="5634" max="5634" width="24" style="28" customWidth="1"/>
    <col min="5635" max="5635" width="7.5546875" style="28" customWidth="1"/>
    <col min="5636" max="5636" width="13.44140625" style="28" customWidth="1"/>
    <col min="5637" max="5637" width="11.109375" style="28" customWidth="1"/>
    <col min="5638" max="5638" width="16.33203125" style="28" customWidth="1"/>
    <col min="5639" max="5639" width="2.109375" style="28" customWidth="1"/>
    <col min="5640" max="5640" width="25.33203125" style="28" customWidth="1"/>
    <col min="5641" max="5641" width="4.33203125" style="28" customWidth="1"/>
    <col min="5642" max="5642" width="13.6640625" style="28" customWidth="1"/>
    <col min="5643" max="5643" width="13.88671875" style="28" customWidth="1"/>
    <col min="5644" max="5644" width="16.33203125" style="28" customWidth="1"/>
    <col min="5645" max="5645" width="2.109375" style="28" customWidth="1"/>
    <col min="5646" max="5646" width="42" style="28" customWidth="1"/>
    <col min="5647" max="5647" width="11.44140625" style="28" customWidth="1"/>
    <col min="5648" max="5648" width="8.5546875" style="28" customWidth="1"/>
    <col min="5649" max="5649" width="11.109375" style="28" customWidth="1"/>
    <col min="5650" max="5650" width="11.44140625" style="28" customWidth="1"/>
    <col min="5651" max="5651" width="18.88671875" style="28" customWidth="1"/>
    <col min="5652" max="5661" width="11.109375" style="28"/>
    <col min="5662" max="5662" width="13.6640625" style="28" customWidth="1"/>
    <col min="5663" max="5663" width="11.109375" style="28"/>
    <col min="5664" max="5664" width="13.6640625" style="28" customWidth="1"/>
    <col min="5665" max="5667" width="11.109375" style="28"/>
    <col min="5668" max="5668" width="7.33203125" style="28" customWidth="1"/>
    <col min="5669" max="5888" width="11.109375" style="28"/>
    <col min="5889" max="5889" width="4.6640625" style="28" customWidth="1"/>
    <col min="5890" max="5890" width="24" style="28" customWidth="1"/>
    <col min="5891" max="5891" width="7.5546875" style="28" customWidth="1"/>
    <col min="5892" max="5892" width="13.44140625" style="28" customWidth="1"/>
    <col min="5893" max="5893" width="11.109375" style="28" customWidth="1"/>
    <col min="5894" max="5894" width="16.33203125" style="28" customWidth="1"/>
    <col min="5895" max="5895" width="2.109375" style="28" customWidth="1"/>
    <col min="5896" max="5896" width="25.33203125" style="28" customWidth="1"/>
    <col min="5897" max="5897" width="4.33203125" style="28" customWidth="1"/>
    <col min="5898" max="5898" width="13.6640625" style="28" customWidth="1"/>
    <col min="5899" max="5899" width="13.88671875" style="28" customWidth="1"/>
    <col min="5900" max="5900" width="16.33203125" style="28" customWidth="1"/>
    <col min="5901" max="5901" width="2.109375" style="28" customWidth="1"/>
    <col min="5902" max="5902" width="42" style="28" customWidth="1"/>
    <col min="5903" max="5903" width="11.44140625" style="28" customWidth="1"/>
    <col min="5904" max="5904" width="8.5546875" style="28" customWidth="1"/>
    <col min="5905" max="5905" width="11.109375" style="28" customWidth="1"/>
    <col min="5906" max="5906" width="11.44140625" style="28" customWidth="1"/>
    <col min="5907" max="5907" width="18.88671875" style="28" customWidth="1"/>
    <col min="5908" max="5917" width="11.109375" style="28"/>
    <col min="5918" max="5918" width="13.6640625" style="28" customWidth="1"/>
    <col min="5919" max="5919" width="11.109375" style="28"/>
    <col min="5920" max="5920" width="13.6640625" style="28" customWidth="1"/>
    <col min="5921" max="5923" width="11.109375" style="28"/>
    <col min="5924" max="5924" width="7.33203125" style="28" customWidth="1"/>
    <col min="5925" max="6144" width="11.109375" style="28"/>
    <col min="6145" max="6145" width="4.6640625" style="28" customWidth="1"/>
    <col min="6146" max="6146" width="24" style="28" customWidth="1"/>
    <col min="6147" max="6147" width="7.5546875" style="28" customWidth="1"/>
    <col min="6148" max="6148" width="13.44140625" style="28" customWidth="1"/>
    <col min="6149" max="6149" width="11.109375" style="28" customWidth="1"/>
    <col min="6150" max="6150" width="16.33203125" style="28" customWidth="1"/>
    <col min="6151" max="6151" width="2.109375" style="28" customWidth="1"/>
    <col min="6152" max="6152" width="25.33203125" style="28" customWidth="1"/>
    <col min="6153" max="6153" width="4.33203125" style="28" customWidth="1"/>
    <col min="6154" max="6154" width="13.6640625" style="28" customWidth="1"/>
    <col min="6155" max="6155" width="13.88671875" style="28" customWidth="1"/>
    <col min="6156" max="6156" width="16.33203125" style="28" customWidth="1"/>
    <col min="6157" max="6157" width="2.109375" style="28" customWidth="1"/>
    <col min="6158" max="6158" width="42" style="28" customWidth="1"/>
    <col min="6159" max="6159" width="11.44140625" style="28" customWidth="1"/>
    <col min="6160" max="6160" width="8.5546875" style="28" customWidth="1"/>
    <col min="6161" max="6161" width="11.109375" style="28" customWidth="1"/>
    <col min="6162" max="6162" width="11.44140625" style="28" customWidth="1"/>
    <col min="6163" max="6163" width="18.88671875" style="28" customWidth="1"/>
    <col min="6164" max="6173" width="11.109375" style="28"/>
    <col min="6174" max="6174" width="13.6640625" style="28" customWidth="1"/>
    <col min="6175" max="6175" width="11.109375" style="28"/>
    <col min="6176" max="6176" width="13.6640625" style="28" customWidth="1"/>
    <col min="6177" max="6179" width="11.109375" style="28"/>
    <col min="6180" max="6180" width="7.33203125" style="28" customWidth="1"/>
    <col min="6181" max="6400" width="11.109375" style="28"/>
    <col min="6401" max="6401" width="4.6640625" style="28" customWidth="1"/>
    <col min="6402" max="6402" width="24" style="28" customWidth="1"/>
    <col min="6403" max="6403" width="7.5546875" style="28" customWidth="1"/>
    <col min="6404" max="6404" width="13.44140625" style="28" customWidth="1"/>
    <col min="6405" max="6405" width="11.109375" style="28" customWidth="1"/>
    <col min="6406" max="6406" width="16.33203125" style="28" customWidth="1"/>
    <col min="6407" max="6407" width="2.109375" style="28" customWidth="1"/>
    <col min="6408" max="6408" width="25.33203125" style="28" customWidth="1"/>
    <col min="6409" max="6409" width="4.33203125" style="28" customWidth="1"/>
    <col min="6410" max="6410" width="13.6640625" style="28" customWidth="1"/>
    <col min="6411" max="6411" width="13.88671875" style="28" customWidth="1"/>
    <col min="6412" max="6412" width="16.33203125" style="28" customWidth="1"/>
    <col min="6413" max="6413" width="2.109375" style="28" customWidth="1"/>
    <col min="6414" max="6414" width="42" style="28" customWidth="1"/>
    <col min="6415" max="6415" width="11.44140625" style="28" customWidth="1"/>
    <col min="6416" max="6416" width="8.5546875" style="28" customWidth="1"/>
    <col min="6417" max="6417" width="11.109375" style="28" customWidth="1"/>
    <col min="6418" max="6418" width="11.44140625" style="28" customWidth="1"/>
    <col min="6419" max="6419" width="18.88671875" style="28" customWidth="1"/>
    <col min="6420" max="6429" width="11.109375" style="28"/>
    <col min="6430" max="6430" width="13.6640625" style="28" customWidth="1"/>
    <col min="6431" max="6431" width="11.109375" style="28"/>
    <col min="6432" max="6432" width="13.6640625" style="28" customWidth="1"/>
    <col min="6433" max="6435" width="11.109375" style="28"/>
    <col min="6436" max="6436" width="7.33203125" style="28" customWidth="1"/>
    <col min="6437" max="6656" width="11.109375" style="28"/>
    <col min="6657" max="6657" width="4.6640625" style="28" customWidth="1"/>
    <col min="6658" max="6658" width="24" style="28" customWidth="1"/>
    <col min="6659" max="6659" width="7.5546875" style="28" customWidth="1"/>
    <col min="6660" max="6660" width="13.44140625" style="28" customWidth="1"/>
    <col min="6661" max="6661" width="11.109375" style="28" customWidth="1"/>
    <col min="6662" max="6662" width="16.33203125" style="28" customWidth="1"/>
    <col min="6663" max="6663" width="2.109375" style="28" customWidth="1"/>
    <col min="6664" max="6664" width="25.33203125" style="28" customWidth="1"/>
    <col min="6665" max="6665" width="4.33203125" style="28" customWidth="1"/>
    <col min="6666" max="6666" width="13.6640625" style="28" customWidth="1"/>
    <col min="6667" max="6667" width="13.88671875" style="28" customWidth="1"/>
    <col min="6668" max="6668" width="16.33203125" style="28" customWidth="1"/>
    <col min="6669" max="6669" width="2.109375" style="28" customWidth="1"/>
    <col min="6670" max="6670" width="42" style="28" customWidth="1"/>
    <col min="6671" max="6671" width="11.44140625" style="28" customWidth="1"/>
    <col min="6672" max="6672" width="8.5546875" style="28" customWidth="1"/>
    <col min="6673" max="6673" width="11.109375" style="28" customWidth="1"/>
    <col min="6674" max="6674" width="11.44140625" style="28" customWidth="1"/>
    <col min="6675" max="6675" width="18.88671875" style="28" customWidth="1"/>
    <col min="6676" max="6685" width="11.109375" style="28"/>
    <col min="6686" max="6686" width="13.6640625" style="28" customWidth="1"/>
    <col min="6687" max="6687" width="11.109375" style="28"/>
    <col min="6688" max="6688" width="13.6640625" style="28" customWidth="1"/>
    <col min="6689" max="6691" width="11.109375" style="28"/>
    <col min="6692" max="6692" width="7.33203125" style="28" customWidth="1"/>
    <col min="6693" max="6912" width="11.109375" style="28"/>
    <col min="6913" max="6913" width="4.6640625" style="28" customWidth="1"/>
    <col min="6914" max="6914" width="24" style="28" customWidth="1"/>
    <col min="6915" max="6915" width="7.5546875" style="28" customWidth="1"/>
    <col min="6916" max="6916" width="13.44140625" style="28" customWidth="1"/>
    <col min="6917" max="6917" width="11.109375" style="28" customWidth="1"/>
    <col min="6918" max="6918" width="16.33203125" style="28" customWidth="1"/>
    <col min="6919" max="6919" width="2.109375" style="28" customWidth="1"/>
    <col min="6920" max="6920" width="25.33203125" style="28" customWidth="1"/>
    <col min="6921" max="6921" width="4.33203125" style="28" customWidth="1"/>
    <col min="6922" max="6922" width="13.6640625" style="28" customWidth="1"/>
    <col min="6923" max="6923" width="13.88671875" style="28" customWidth="1"/>
    <col min="6924" max="6924" width="16.33203125" style="28" customWidth="1"/>
    <col min="6925" max="6925" width="2.109375" style="28" customWidth="1"/>
    <col min="6926" max="6926" width="42" style="28" customWidth="1"/>
    <col min="6927" max="6927" width="11.44140625" style="28" customWidth="1"/>
    <col min="6928" max="6928" width="8.5546875" style="28" customWidth="1"/>
    <col min="6929" max="6929" width="11.109375" style="28" customWidth="1"/>
    <col min="6930" max="6930" width="11.44140625" style="28" customWidth="1"/>
    <col min="6931" max="6931" width="18.88671875" style="28" customWidth="1"/>
    <col min="6932" max="6941" width="11.109375" style="28"/>
    <col min="6942" max="6942" width="13.6640625" style="28" customWidth="1"/>
    <col min="6943" max="6943" width="11.109375" style="28"/>
    <col min="6944" max="6944" width="13.6640625" style="28" customWidth="1"/>
    <col min="6945" max="6947" width="11.109375" style="28"/>
    <col min="6948" max="6948" width="7.33203125" style="28" customWidth="1"/>
    <col min="6949" max="7168" width="11.109375" style="28"/>
    <col min="7169" max="7169" width="4.6640625" style="28" customWidth="1"/>
    <col min="7170" max="7170" width="24" style="28" customWidth="1"/>
    <col min="7171" max="7171" width="7.5546875" style="28" customWidth="1"/>
    <col min="7172" max="7172" width="13.44140625" style="28" customWidth="1"/>
    <col min="7173" max="7173" width="11.109375" style="28" customWidth="1"/>
    <col min="7174" max="7174" width="16.33203125" style="28" customWidth="1"/>
    <col min="7175" max="7175" width="2.109375" style="28" customWidth="1"/>
    <col min="7176" max="7176" width="25.33203125" style="28" customWidth="1"/>
    <col min="7177" max="7177" width="4.33203125" style="28" customWidth="1"/>
    <col min="7178" max="7178" width="13.6640625" style="28" customWidth="1"/>
    <col min="7179" max="7179" width="13.88671875" style="28" customWidth="1"/>
    <col min="7180" max="7180" width="16.33203125" style="28" customWidth="1"/>
    <col min="7181" max="7181" width="2.109375" style="28" customWidth="1"/>
    <col min="7182" max="7182" width="42" style="28" customWidth="1"/>
    <col min="7183" max="7183" width="11.44140625" style="28" customWidth="1"/>
    <col min="7184" max="7184" width="8.5546875" style="28" customWidth="1"/>
    <col min="7185" max="7185" width="11.109375" style="28" customWidth="1"/>
    <col min="7186" max="7186" width="11.44140625" style="28" customWidth="1"/>
    <col min="7187" max="7187" width="18.88671875" style="28" customWidth="1"/>
    <col min="7188" max="7197" width="11.109375" style="28"/>
    <col min="7198" max="7198" width="13.6640625" style="28" customWidth="1"/>
    <col min="7199" max="7199" width="11.109375" style="28"/>
    <col min="7200" max="7200" width="13.6640625" style="28" customWidth="1"/>
    <col min="7201" max="7203" width="11.109375" style="28"/>
    <col min="7204" max="7204" width="7.33203125" style="28" customWidth="1"/>
    <col min="7205" max="7424" width="11.109375" style="28"/>
    <col min="7425" max="7425" width="4.6640625" style="28" customWidth="1"/>
    <col min="7426" max="7426" width="24" style="28" customWidth="1"/>
    <col min="7427" max="7427" width="7.5546875" style="28" customWidth="1"/>
    <col min="7428" max="7428" width="13.44140625" style="28" customWidth="1"/>
    <col min="7429" max="7429" width="11.109375" style="28" customWidth="1"/>
    <col min="7430" max="7430" width="16.33203125" style="28" customWidth="1"/>
    <col min="7431" max="7431" width="2.109375" style="28" customWidth="1"/>
    <col min="7432" max="7432" width="25.33203125" style="28" customWidth="1"/>
    <col min="7433" max="7433" width="4.33203125" style="28" customWidth="1"/>
    <col min="7434" max="7434" width="13.6640625" style="28" customWidth="1"/>
    <col min="7435" max="7435" width="13.88671875" style="28" customWidth="1"/>
    <col min="7436" max="7436" width="16.33203125" style="28" customWidth="1"/>
    <col min="7437" max="7437" width="2.109375" style="28" customWidth="1"/>
    <col min="7438" max="7438" width="42" style="28" customWidth="1"/>
    <col min="7439" max="7439" width="11.44140625" style="28" customWidth="1"/>
    <col min="7440" max="7440" width="8.5546875" style="28" customWidth="1"/>
    <col min="7441" max="7441" width="11.109375" style="28" customWidth="1"/>
    <col min="7442" max="7442" width="11.44140625" style="28" customWidth="1"/>
    <col min="7443" max="7443" width="18.88671875" style="28" customWidth="1"/>
    <col min="7444" max="7453" width="11.109375" style="28"/>
    <col min="7454" max="7454" width="13.6640625" style="28" customWidth="1"/>
    <col min="7455" max="7455" width="11.109375" style="28"/>
    <col min="7456" max="7456" width="13.6640625" style="28" customWidth="1"/>
    <col min="7457" max="7459" width="11.109375" style="28"/>
    <col min="7460" max="7460" width="7.33203125" style="28" customWidth="1"/>
    <col min="7461" max="7680" width="11.109375" style="28"/>
    <col min="7681" max="7681" width="4.6640625" style="28" customWidth="1"/>
    <col min="7682" max="7682" width="24" style="28" customWidth="1"/>
    <col min="7683" max="7683" width="7.5546875" style="28" customWidth="1"/>
    <col min="7684" max="7684" width="13.44140625" style="28" customWidth="1"/>
    <col min="7685" max="7685" width="11.109375" style="28" customWidth="1"/>
    <col min="7686" max="7686" width="16.33203125" style="28" customWidth="1"/>
    <col min="7687" max="7687" width="2.109375" style="28" customWidth="1"/>
    <col min="7688" max="7688" width="25.33203125" style="28" customWidth="1"/>
    <col min="7689" max="7689" width="4.33203125" style="28" customWidth="1"/>
    <col min="7690" max="7690" width="13.6640625" style="28" customWidth="1"/>
    <col min="7691" max="7691" width="13.88671875" style="28" customWidth="1"/>
    <col min="7692" max="7692" width="16.33203125" style="28" customWidth="1"/>
    <col min="7693" max="7693" width="2.109375" style="28" customWidth="1"/>
    <col min="7694" max="7694" width="42" style="28" customWidth="1"/>
    <col min="7695" max="7695" width="11.44140625" style="28" customWidth="1"/>
    <col min="7696" max="7696" width="8.5546875" style="28" customWidth="1"/>
    <col min="7697" max="7697" width="11.109375" style="28" customWidth="1"/>
    <col min="7698" max="7698" width="11.44140625" style="28" customWidth="1"/>
    <col min="7699" max="7699" width="18.88671875" style="28" customWidth="1"/>
    <col min="7700" max="7709" width="11.109375" style="28"/>
    <col min="7710" max="7710" width="13.6640625" style="28" customWidth="1"/>
    <col min="7711" max="7711" width="11.109375" style="28"/>
    <col min="7712" max="7712" width="13.6640625" style="28" customWidth="1"/>
    <col min="7713" max="7715" width="11.109375" style="28"/>
    <col min="7716" max="7716" width="7.33203125" style="28" customWidth="1"/>
    <col min="7717" max="7936" width="11.109375" style="28"/>
    <col min="7937" max="7937" width="4.6640625" style="28" customWidth="1"/>
    <col min="7938" max="7938" width="24" style="28" customWidth="1"/>
    <col min="7939" max="7939" width="7.5546875" style="28" customWidth="1"/>
    <col min="7940" max="7940" width="13.44140625" style="28" customWidth="1"/>
    <col min="7941" max="7941" width="11.109375" style="28" customWidth="1"/>
    <col min="7942" max="7942" width="16.33203125" style="28" customWidth="1"/>
    <col min="7943" max="7943" width="2.109375" style="28" customWidth="1"/>
    <col min="7944" max="7944" width="25.33203125" style="28" customWidth="1"/>
    <col min="7945" max="7945" width="4.33203125" style="28" customWidth="1"/>
    <col min="7946" max="7946" width="13.6640625" style="28" customWidth="1"/>
    <col min="7947" max="7947" width="13.88671875" style="28" customWidth="1"/>
    <col min="7948" max="7948" width="16.33203125" style="28" customWidth="1"/>
    <col min="7949" max="7949" width="2.109375" style="28" customWidth="1"/>
    <col min="7950" max="7950" width="42" style="28" customWidth="1"/>
    <col min="7951" max="7951" width="11.44140625" style="28" customWidth="1"/>
    <col min="7952" max="7952" width="8.5546875" style="28" customWidth="1"/>
    <col min="7953" max="7953" width="11.109375" style="28" customWidth="1"/>
    <col min="7954" max="7954" width="11.44140625" style="28" customWidth="1"/>
    <col min="7955" max="7955" width="18.88671875" style="28" customWidth="1"/>
    <col min="7956" max="7965" width="11.109375" style="28"/>
    <col min="7966" max="7966" width="13.6640625" style="28" customWidth="1"/>
    <col min="7967" max="7967" width="11.109375" style="28"/>
    <col min="7968" max="7968" width="13.6640625" style="28" customWidth="1"/>
    <col min="7969" max="7971" width="11.109375" style="28"/>
    <col min="7972" max="7972" width="7.33203125" style="28" customWidth="1"/>
    <col min="7973" max="8192" width="11.109375" style="28"/>
    <col min="8193" max="8193" width="4.6640625" style="28" customWidth="1"/>
    <col min="8194" max="8194" width="24" style="28" customWidth="1"/>
    <col min="8195" max="8195" width="7.5546875" style="28" customWidth="1"/>
    <col min="8196" max="8196" width="13.44140625" style="28" customWidth="1"/>
    <col min="8197" max="8197" width="11.109375" style="28" customWidth="1"/>
    <col min="8198" max="8198" width="16.33203125" style="28" customWidth="1"/>
    <col min="8199" max="8199" width="2.109375" style="28" customWidth="1"/>
    <col min="8200" max="8200" width="25.33203125" style="28" customWidth="1"/>
    <col min="8201" max="8201" width="4.33203125" style="28" customWidth="1"/>
    <col min="8202" max="8202" width="13.6640625" style="28" customWidth="1"/>
    <col min="8203" max="8203" width="13.88671875" style="28" customWidth="1"/>
    <col min="8204" max="8204" width="16.33203125" style="28" customWidth="1"/>
    <col min="8205" max="8205" width="2.109375" style="28" customWidth="1"/>
    <col min="8206" max="8206" width="42" style="28" customWidth="1"/>
    <col min="8207" max="8207" width="11.44140625" style="28" customWidth="1"/>
    <col min="8208" max="8208" width="8.5546875" style="28" customWidth="1"/>
    <col min="8209" max="8209" width="11.109375" style="28" customWidth="1"/>
    <col min="8210" max="8210" width="11.44140625" style="28" customWidth="1"/>
    <col min="8211" max="8211" width="18.88671875" style="28" customWidth="1"/>
    <col min="8212" max="8221" width="11.109375" style="28"/>
    <col min="8222" max="8222" width="13.6640625" style="28" customWidth="1"/>
    <col min="8223" max="8223" width="11.109375" style="28"/>
    <col min="8224" max="8224" width="13.6640625" style="28" customWidth="1"/>
    <col min="8225" max="8227" width="11.109375" style="28"/>
    <col min="8228" max="8228" width="7.33203125" style="28" customWidth="1"/>
    <col min="8229" max="8448" width="11.109375" style="28"/>
    <col min="8449" max="8449" width="4.6640625" style="28" customWidth="1"/>
    <col min="8450" max="8450" width="24" style="28" customWidth="1"/>
    <col min="8451" max="8451" width="7.5546875" style="28" customWidth="1"/>
    <col min="8452" max="8452" width="13.44140625" style="28" customWidth="1"/>
    <col min="8453" max="8453" width="11.109375" style="28" customWidth="1"/>
    <col min="8454" max="8454" width="16.33203125" style="28" customWidth="1"/>
    <col min="8455" max="8455" width="2.109375" style="28" customWidth="1"/>
    <col min="8456" max="8456" width="25.33203125" style="28" customWidth="1"/>
    <col min="8457" max="8457" width="4.33203125" style="28" customWidth="1"/>
    <col min="8458" max="8458" width="13.6640625" style="28" customWidth="1"/>
    <col min="8459" max="8459" width="13.88671875" style="28" customWidth="1"/>
    <col min="8460" max="8460" width="16.33203125" style="28" customWidth="1"/>
    <col min="8461" max="8461" width="2.109375" style="28" customWidth="1"/>
    <col min="8462" max="8462" width="42" style="28" customWidth="1"/>
    <col min="8463" max="8463" width="11.44140625" style="28" customWidth="1"/>
    <col min="8464" max="8464" width="8.5546875" style="28" customWidth="1"/>
    <col min="8465" max="8465" width="11.109375" style="28" customWidth="1"/>
    <col min="8466" max="8466" width="11.44140625" style="28" customWidth="1"/>
    <col min="8467" max="8467" width="18.88671875" style="28" customWidth="1"/>
    <col min="8468" max="8477" width="11.109375" style="28"/>
    <col min="8478" max="8478" width="13.6640625" style="28" customWidth="1"/>
    <col min="8479" max="8479" width="11.109375" style="28"/>
    <col min="8480" max="8480" width="13.6640625" style="28" customWidth="1"/>
    <col min="8481" max="8483" width="11.109375" style="28"/>
    <col min="8484" max="8484" width="7.33203125" style="28" customWidth="1"/>
    <col min="8485" max="8704" width="11.109375" style="28"/>
    <col min="8705" max="8705" width="4.6640625" style="28" customWidth="1"/>
    <col min="8706" max="8706" width="24" style="28" customWidth="1"/>
    <col min="8707" max="8707" width="7.5546875" style="28" customWidth="1"/>
    <col min="8708" max="8708" width="13.44140625" style="28" customWidth="1"/>
    <col min="8709" max="8709" width="11.109375" style="28" customWidth="1"/>
    <col min="8710" max="8710" width="16.33203125" style="28" customWidth="1"/>
    <col min="8711" max="8711" width="2.109375" style="28" customWidth="1"/>
    <col min="8712" max="8712" width="25.33203125" style="28" customWidth="1"/>
    <col min="8713" max="8713" width="4.33203125" style="28" customWidth="1"/>
    <col min="8714" max="8714" width="13.6640625" style="28" customWidth="1"/>
    <col min="8715" max="8715" width="13.88671875" style="28" customWidth="1"/>
    <col min="8716" max="8716" width="16.33203125" style="28" customWidth="1"/>
    <col min="8717" max="8717" width="2.109375" style="28" customWidth="1"/>
    <col min="8718" max="8718" width="42" style="28" customWidth="1"/>
    <col min="8719" max="8719" width="11.44140625" style="28" customWidth="1"/>
    <col min="8720" max="8720" width="8.5546875" style="28" customWidth="1"/>
    <col min="8721" max="8721" width="11.109375" style="28" customWidth="1"/>
    <col min="8722" max="8722" width="11.44140625" style="28" customWidth="1"/>
    <col min="8723" max="8723" width="18.88671875" style="28" customWidth="1"/>
    <col min="8724" max="8733" width="11.109375" style="28"/>
    <col min="8734" max="8734" width="13.6640625" style="28" customWidth="1"/>
    <col min="8735" max="8735" width="11.109375" style="28"/>
    <col min="8736" max="8736" width="13.6640625" style="28" customWidth="1"/>
    <col min="8737" max="8739" width="11.109375" style="28"/>
    <col min="8740" max="8740" width="7.33203125" style="28" customWidth="1"/>
    <col min="8741" max="8960" width="11.109375" style="28"/>
    <col min="8961" max="8961" width="4.6640625" style="28" customWidth="1"/>
    <col min="8962" max="8962" width="24" style="28" customWidth="1"/>
    <col min="8963" max="8963" width="7.5546875" style="28" customWidth="1"/>
    <col min="8964" max="8964" width="13.44140625" style="28" customWidth="1"/>
    <col min="8965" max="8965" width="11.109375" style="28" customWidth="1"/>
    <col min="8966" max="8966" width="16.33203125" style="28" customWidth="1"/>
    <col min="8967" max="8967" width="2.109375" style="28" customWidth="1"/>
    <col min="8968" max="8968" width="25.33203125" style="28" customWidth="1"/>
    <col min="8969" max="8969" width="4.33203125" style="28" customWidth="1"/>
    <col min="8970" max="8970" width="13.6640625" style="28" customWidth="1"/>
    <col min="8971" max="8971" width="13.88671875" style="28" customWidth="1"/>
    <col min="8972" max="8972" width="16.33203125" style="28" customWidth="1"/>
    <col min="8973" max="8973" width="2.109375" style="28" customWidth="1"/>
    <col min="8974" max="8974" width="42" style="28" customWidth="1"/>
    <col min="8975" max="8975" width="11.44140625" style="28" customWidth="1"/>
    <col min="8976" max="8976" width="8.5546875" style="28" customWidth="1"/>
    <col min="8977" max="8977" width="11.109375" style="28" customWidth="1"/>
    <col min="8978" max="8978" width="11.44140625" style="28" customWidth="1"/>
    <col min="8979" max="8979" width="18.88671875" style="28" customWidth="1"/>
    <col min="8980" max="8989" width="11.109375" style="28"/>
    <col min="8990" max="8990" width="13.6640625" style="28" customWidth="1"/>
    <col min="8991" max="8991" width="11.109375" style="28"/>
    <col min="8992" max="8992" width="13.6640625" style="28" customWidth="1"/>
    <col min="8993" max="8995" width="11.109375" style="28"/>
    <col min="8996" max="8996" width="7.33203125" style="28" customWidth="1"/>
    <col min="8997" max="9216" width="11.109375" style="28"/>
    <col min="9217" max="9217" width="4.6640625" style="28" customWidth="1"/>
    <col min="9218" max="9218" width="24" style="28" customWidth="1"/>
    <col min="9219" max="9219" width="7.5546875" style="28" customWidth="1"/>
    <col min="9220" max="9220" width="13.44140625" style="28" customWidth="1"/>
    <col min="9221" max="9221" width="11.109375" style="28" customWidth="1"/>
    <col min="9222" max="9222" width="16.33203125" style="28" customWidth="1"/>
    <col min="9223" max="9223" width="2.109375" style="28" customWidth="1"/>
    <col min="9224" max="9224" width="25.33203125" style="28" customWidth="1"/>
    <col min="9225" max="9225" width="4.33203125" style="28" customWidth="1"/>
    <col min="9226" max="9226" width="13.6640625" style="28" customWidth="1"/>
    <col min="9227" max="9227" width="13.88671875" style="28" customWidth="1"/>
    <col min="9228" max="9228" width="16.33203125" style="28" customWidth="1"/>
    <col min="9229" max="9229" width="2.109375" style="28" customWidth="1"/>
    <col min="9230" max="9230" width="42" style="28" customWidth="1"/>
    <col min="9231" max="9231" width="11.44140625" style="28" customWidth="1"/>
    <col min="9232" max="9232" width="8.5546875" style="28" customWidth="1"/>
    <col min="9233" max="9233" width="11.109375" style="28" customWidth="1"/>
    <col min="9234" max="9234" width="11.44140625" style="28" customWidth="1"/>
    <col min="9235" max="9235" width="18.88671875" style="28" customWidth="1"/>
    <col min="9236" max="9245" width="11.109375" style="28"/>
    <col min="9246" max="9246" width="13.6640625" style="28" customWidth="1"/>
    <col min="9247" max="9247" width="11.109375" style="28"/>
    <col min="9248" max="9248" width="13.6640625" style="28" customWidth="1"/>
    <col min="9249" max="9251" width="11.109375" style="28"/>
    <col min="9252" max="9252" width="7.33203125" style="28" customWidth="1"/>
    <col min="9253" max="9472" width="11.109375" style="28"/>
    <col min="9473" max="9473" width="4.6640625" style="28" customWidth="1"/>
    <col min="9474" max="9474" width="24" style="28" customWidth="1"/>
    <col min="9475" max="9475" width="7.5546875" style="28" customWidth="1"/>
    <col min="9476" max="9476" width="13.44140625" style="28" customWidth="1"/>
    <col min="9477" max="9477" width="11.109375" style="28" customWidth="1"/>
    <col min="9478" max="9478" width="16.33203125" style="28" customWidth="1"/>
    <col min="9479" max="9479" width="2.109375" style="28" customWidth="1"/>
    <col min="9480" max="9480" width="25.33203125" style="28" customWidth="1"/>
    <col min="9481" max="9481" width="4.33203125" style="28" customWidth="1"/>
    <col min="9482" max="9482" width="13.6640625" style="28" customWidth="1"/>
    <col min="9483" max="9483" width="13.88671875" style="28" customWidth="1"/>
    <col min="9484" max="9484" width="16.33203125" style="28" customWidth="1"/>
    <col min="9485" max="9485" width="2.109375" style="28" customWidth="1"/>
    <col min="9486" max="9486" width="42" style="28" customWidth="1"/>
    <col min="9487" max="9487" width="11.44140625" style="28" customWidth="1"/>
    <col min="9488" max="9488" width="8.5546875" style="28" customWidth="1"/>
    <col min="9489" max="9489" width="11.109375" style="28" customWidth="1"/>
    <col min="9490" max="9490" width="11.44140625" style="28" customWidth="1"/>
    <col min="9491" max="9491" width="18.88671875" style="28" customWidth="1"/>
    <col min="9492" max="9501" width="11.109375" style="28"/>
    <col min="9502" max="9502" width="13.6640625" style="28" customWidth="1"/>
    <col min="9503" max="9503" width="11.109375" style="28"/>
    <col min="9504" max="9504" width="13.6640625" style="28" customWidth="1"/>
    <col min="9505" max="9507" width="11.109375" style="28"/>
    <col min="9508" max="9508" width="7.33203125" style="28" customWidth="1"/>
    <col min="9509" max="9728" width="11.109375" style="28"/>
    <col min="9729" max="9729" width="4.6640625" style="28" customWidth="1"/>
    <col min="9730" max="9730" width="24" style="28" customWidth="1"/>
    <col min="9731" max="9731" width="7.5546875" style="28" customWidth="1"/>
    <col min="9732" max="9732" width="13.44140625" style="28" customWidth="1"/>
    <col min="9733" max="9733" width="11.109375" style="28" customWidth="1"/>
    <col min="9734" max="9734" width="16.33203125" style="28" customWidth="1"/>
    <col min="9735" max="9735" width="2.109375" style="28" customWidth="1"/>
    <col min="9736" max="9736" width="25.33203125" style="28" customWidth="1"/>
    <col min="9737" max="9737" width="4.33203125" style="28" customWidth="1"/>
    <col min="9738" max="9738" width="13.6640625" style="28" customWidth="1"/>
    <col min="9739" max="9739" width="13.88671875" style="28" customWidth="1"/>
    <col min="9740" max="9740" width="16.33203125" style="28" customWidth="1"/>
    <col min="9741" max="9741" width="2.109375" style="28" customWidth="1"/>
    <col min="9742" max="9742" width="42" style="28" customWidth="1"/>
    <col min="9743" max="9743" width="11.44140625" style="28" customWidth="1"/>
    <col min="9744" max="9744" width="8.5546875" style="28" customWidth="1"/>
    <col min="9745" max="9745" width="11.109375" style="28" customWidth="1"/>
    <col min="9746" max="9746" width="11.44140625" style="28" customWidth="1"/>
    <col min="9747" max="9747" width="18.88671875" style="28" customWidth="1"/>
    <col min="9748" max="9757" width="11.109375" style="28"/>
    <col min="9758" max="9758" width="13.6640625" style="28" customWidth="1"/>
    <col min="9759" max="9759" width="11.109375" style="28"/>
    <col min="9760" max="9760" width="13.6640625" style="28" customWidth="1"/>
    <col min="9761" max="9763" width="11.109375" style="28"/>
    <col min="9764" max="9764" width="7.33203125" style="28" customWidth="1"/>
    <col min="9765" max="9984" width="11.109375" style="28"/>
    <col min="9985" max="9985" width="4.6640625" style="28" customWidth="1"/>
    <col min="9986" max="9986" width="24" style="28" customWidth="1"/>
    <col min="9987" max="9987" width="7.5546875" style="28" customWidth="1"/>
    <col min="9988" max="9988" width="13.44140625" style="28" customWidth="1"/>
    <col min="9989" max="9989" width="11.109375" style="28" customWidth="1"/>
    <col min="9990" max="9990" width="16.33203125" style="28" customWidth="1"/>
    <col min="9991" max="9991" width="2.109375" style="28" customWidth="1"/>
    <col min="9992" max="9992" width="25.33203125" style="28" customWidth="1"/>
    <col min="9993" max="9993" width="4.33203125" style="28" customWidth="1"/>
    <col min="9994" max="9994" width="13.6640625" style="28" customWidth="1"/>
    <col min="9995" max="9995" width="13.88671875" style="28" customWidth="1"/>
    <col min="9996" max="9996" width="16.33203125" style="28" customWidth="1"/>
    <col min="9997" max="9997" width="2.109375" style="28" customWidth="1"/>
    <col min="9998" max="9998" width="42" style="28" customWidth="1"/>
    <col min="9999" max="9999" width="11.44140625" style="28" customWidth="1"/>
    <col min="10000" max="10000" width="8.5546875" style="28" customWidth="1"/>
    <col min="10001" max="10001" width="11.109375" style="28" customWidth="1"/>
    <col min="10002" max="10002" width="11.44140625" style="28" customWidth="1"/>
    <col min="10003" max="10003" width="18.88671875" style="28" customWidth="1"/>
    <col min="10004" max="10013" width="11.109375" style="28"/>
    <col min="10014" max="10014" width="13.6640625" style="28" customWidth="1"/>
    <col min="10015" max="10015" width="11.109375" style="28"/>
    <col min="10016" max="10016" width="13.6640625" style="28" customWidth="1"/>
    <col min="10017" max="10019" width="11.109375" style="28"/>
    <col min="10020" max="10020" width="7.33203125" style="28" customWidth="1"/>
    <col min="10021" max="10240" width="11.109375" style="28"/>
    <col min="10241" max="10241" width="4.6640625" style="28" customWidth="1"/>
    <col min="10242" max="10242" width="24" style="28" customWidth="1"/>
    <col min="10243" max="10243" width="7.5546875" style="28" customWidth="1"/>
    <col min="10244" max="10244" width="13.44140625" style="28" customWidth="1"/>
    <col min="10245" max="10245" width="11.109375" style="28" customWidth="1"/>
    <col min="10246" max="10246" width="16.33203125" style="28" customWidth="1"/>
    <col min="10247" max="10247" width="2.109375" style="28" customWidth="1"/>
    <col min="10248" max="10248" width="25.33203125" style="28" customWidth="1"/>
    <col min="10249" max="10249" width="4.33203125" style="28" customWidth="1"/>
    <col min="10250" max="10250" width="13.6640625" style="28" customWidth="1"/>
    <col min="10251" max="10251" width="13.88671875" style="28" customWidth="1"/>
    <col min="10252" max="10252" width="16.33203125" style="28" customWidth="1"/>
    <col min="10253" max="10253" width="2.109375" style="28" customWidth="1"/>
    <col min="10254" max="10254" width="42" style="28" customWidth="1"/>
    <col min="10255" max="10255" width="11.44140625" style="28" customWidth="1"/>
    <col min="10256" max="10256" width="8.5546875" style="28" customWidth="1"/>
    <col min="10257" max="10257" width="11.109375" style="28" customWidth="1"/>
    <col min="10258" max="10258" width="11.44140625" style="28" customWidth="1"/>
    <col min="10259" max="10259" width="18.88671875" style="28" customWidth="1"/>
    <col min="10260" max="10269" width="11.109375" style="28"/>
    <col min="10270" max="10270" width="13.6640625" style="28" customWidth="1"/>
    <col min="10271" max="10271" width="11.109375" style="28"/>
    <col min="10272" max="10272" width="13.6640625" style="28" customWidth="1"/>
    <col min="10273" max="10275" width="11.109375" style="28"/>
    <col min="10276" max="10276" width="7.33203125" style="28" customWidth="1"/>
    <col min="10277" max="10496" width="11.109375" style="28"/>
    <col min="10497" max="10497" width="4.6640625" style="28" customWidth="1"/>
    <col min="10498" max="10498" width="24" style="28" customWidth="1"/>
    <col min="10499" max="10499" width="7.5546875" style="28" customWidth="1"/>
    <col min="10500" max="10500" width="13.44140625" style="28" customWidth="1"/>
    <col min="10501" max="10501" width="11.109375" style="28" customWidth="1"/>
    <col min="10502" max="10502" width="16.33203125" style="28" customWidth="1"/>
    <col min="10503" max="10503" width="2.109375" style="28" customWidth="1"/>
    <col min="10504" max="10504" width="25.33203125" style="28" customWidth="1"/>
    <col min="10505" max="10505" width="4.33203125" style="28" customWidth="1"/>
    <col min="10506" max="10506" width="13.6640625" style="28" customWidth="1"/>
    <col min="10507" max="10507" width="13.88671875" style="28" customWidth="1"/>
    <col min="10508" max="10508" width="16.33203125" style="28" customWidth="1"/>
    <col min="10509" max="10509" width="2.109375" style="28" customWidth="1"/>
    <col min="10510" max="10510" width="42" style="28" customWidth="1"/>
    <col min="10511" max="10511" width="11.44140625" style="28" customWidth="1"/>
    <col min="10512" max="10512" width="8.5546875" style="28" customWidth="1"/>
    <col min="10513" max="10513" width="11.109375" style="28" customWidth="1"/>
    <col min="10514" max="10514" width="11.44140625" style="28" customWidth="1"/>
    <col min="10515" max="10515" width="18.88671875" style="28" customWidth="1"/>
    <col min="10516" max="10525" width="11.109375" style="28"/>
    <col min="10526" max="10526" width="13.6640625" style="28" customWidth="1"/>
    <col min="10527" max="10527" width="11.109375" style="28"/>
    <col min="10528" max="10528" width="13.6640625" style="28" customWidth="1"/>
    <col min="10529" max="10531" width="11.109375" style="28"/>
    <col min="10532" max="10532" width="7.33203125" style="28" customWidth="1"/>
    <col min="10533" max="10752" width="11.109375" style="28"/>
    <col min="10753" max="10753" width="4.6640625" style="28" customWidth="1"/>
    <col min="10754" max="10754" width="24" style="28" customWidth="1"/>
    <col min="10755" max="10755" width="7.5546875" style="28" customWidth="1"/>
    <col min="10756" max="10756" width="13.44140625" style="28" customWidth="1"/>
    <col min="10757" max="10757" width="11.109375" style="28" customWidth="1"/>
    <col min="10758" max="10758" width="16.33203125" style="28" customWidth="1"/>
    <col min="10759" max="10759" width="2.109375" style="28" customWidth="1"/>
    <col min="10760" max="10760" width="25.33203125" style="28" customWidth="1"/>
    <col min="10761" max="10761" width="4.33203125" style="28" customWidth="1"/>
    <col min="10762" max="10762" width="13.6640625" style="28" customWidth="1"/>
    <col min="10763" max="10763" width="13.88671875" style="28" customWidth="1"/>
    <col min="10764" max="10764" width="16.33203125" style="28" customWidth="1"/>
    <col min="10765" max="10765" width="2.109375" style="28" customWidth="1"/>
    <col min="10766" max="10766" width="42" style="28" customWidth="1"/>
    <col min="10767" max="10767" width="11.44140625" style="28" customWidth="1"/>
    <col min="10768" max="10768" width="8.5546875" style="28" customWidth="1"/>
    <col min="10769" max="10769" width="11.109375" style="28" customWidth="1"/>
    <col min="10770" max="10770" width="11.44140625" style="28" customWidth="1"/>
    <col min="10771" max="10771" width="18.88671875" style="28" customWidth="1"/>
    <col min="10772" max="10781" width="11.109375" style="28"/>
    <col min="10782" max="10782" width="13.6640625" style="28" customWidth="1"/>
    <col min="10783" max="10783" width="11.109375" style="28"/>
    <col min="10784" max="10784" width="13.6640625" style="28" customWidth="1"/>
    <col min="10785" max="10787" width="11.109375" style="28"/>
    <col min="10788" max="10788" width="7.33203125" style="28" customWidth="1"/>
    <col min="10789" max="11008" width="11.109375" style="28"/>
    <col min="11009" max="11009" width="4.6640625" style="28" customWidth="1"/>
    <col min="11010" max="11010" width="24" style="28" customWidth="1"/>
    <col min="11011" max="11011" width="7.5546875" style="28" customWidth="1"/>
    <col min="11012" max="11012" width="13.44140625" style="28" customWidth="1"/>
    <col min="11013" max="11013" width="11.109375" style="28" customWidth="1"/>
    <col min="11014" max="11014" width="16.33203125" style="28" customWidth="1"/>
    <col min="11015" max="11015" width="2.109375" style="28" customWidth="1"/>
    <col min="11016" max="11016" width="25.33203125" style="28" customWidth="1"/>
    <col min="11017" max="11017" width="4.33203125" style="28" customWidth="1"/>
    <col min="11018" max="11018" width="13.6640625" style="28" customWidth="1"/>
    <col min="11019" max="11019" width="13.88671875" style="28" customWidth="1"/>
    <col min="11020" max="11020" width="16.33203125" style="28" customWidth="1"/>
    <col min="11021" max="11021" width="2.109375" style="28" customWidth="1"/>
    <col min="11022" max="11022" width="42" style="28" customWidth="1"/>
    <col min="11023" max="11023" width="11.44140625" style="28" customWidth="1"/>
    <col min="11024" max="11024" width="8.5546875" style="28" customWidth="1"/>
    <col min="11025" max="11025" width="11.109375" style="28" customWidth="1"/>
    <col min="11026" max="11026" width="11.44140625" style="28" customWidth="1"/>
    <col min="11027" max="11027" width="18.88671875" style="28" customWidth="1"/>
    <col min="11028" max="11037" width="11.109375" style="28"/>
    <col min="11038" max="11038" width="13.6640625" style="28" customWidth="1"/>
    <col min="11039" max="11039" width="11.109375" style="28"/>
    <col min="11040" max="11040" width="13.6640625" style="28" customWidth="1"/>
    <col min="11041" max="11043" width="11.109375" style="28"/>
    <col min="11044" max="11044" width="7.33203125" style="28" customWidth="1"/>
    <col min="11045" max="11264" width="11.109375" style="28"/>
    <col min="11265" max="11265" width="4.6640625" style="28" customWidth="1"/>
    <col min="11266" max="11266" width="24" style="28" customWidth="1"/>
    <col min="11267" max="11267" width="7.5546875" style="28" customWidth="1"/>
    <col min="11268" max="11268" width="13.44140625" style="28" customWidth="1"/>
    <col min="11269" max="11269" width="11.109375" style="28" customWidth="1"/>
    <col min="11270" max="11270" width="16.33203125" style="28" customWidth="1"/>
    <col min="11271" max="11271" width="2.109375" style="28" customWidth="1"/>
    <col min="11272" max="11272" width="25.33203125" style="28" customWidth="1"/>
    <col min="11273" max="11273" width="4.33203125" style="28" customWidth="1"/>
    <col min="11274" max="11274" width="13.6640625" style="28" customWidth="1"/>
    <col min="11275" max="11275" width="13.88671875" style="28" customWidth="1"/>
    <col min="11276" max="11276" width="16.33203125" style="28" customWidth="1"/>
    <col min="11277" max="11277" width="2.109375" style="28" customWidth="1"/>
    <col min="11278" max="11278" width="42" style="28" customWidth="1"/>
    <col min="11279" max="11279" width="11.44140625" style="28" customWidth="1"/>
    <col min="11280" max="11280" width="8.5546875" style="28" customWidth="1"/>
    <col min="11281" max="11281" width="11.109375" style="28" customWidth="1"/>
    <col min="11282" max="11282" width="11.44140625" style="28" customWidth="1"/>
    <col min="11283" max="11283" width="18.88671875" style="28" customWidth="1"/>
    <col min="11284" max="11293" width="11.109375" style="28"/>
    <col min="11294" max="11294" width="13.6640625" style="28" customWidth="1"/>
    <col min="11295" max="11295" width="11.109375" style="28"/>
    <col min="11296" max="11296" width="13.6640625" style="28" customWidth="1"/>
    <col min="11297" max="11299" width="11.109375" style="28"/>
    <col min="11300" max="11300" width="7.33203125" style="28" customWidth="1"/>
    <col min="11301" max="11520" width="11.109375" style="28"/>
    <col min="11521" max="11521" width="4.6640625" style="28" customWidth="1"/>
    <col min="11522" max="11522" width="24" style="28" customWidth="1"/>
    <col min="11523" max="11523" width="7.5546875" style="28" customWidth="1"/>
    <col min="11524" max="11524" width="13.44140625" style="28" customWidth="1"/>
    <col min="11525" max="11525" width="11.109375" style="28" customWidth="1"/>
    <col min="11526" max="11526" width="16.33203125" style="28" customWidth="1"/>
    <col min="11527" max="11527" width="2.109375" style="28" customWidth="1"/>
    <col min="11528" max="11528" width="25.33203125" style="28" customWidth="1"/>
    <col min="11529" max="11529" width="4.33203125" style="28" customWidth="1"/>
    <col min="11530" max="11530" width="13.6640625" style="28" customWidth="1"/>
    <col min="11531" max="11531" width="13.88671875" style="28" customWidth="1"/>
    <col min="11532" max="11532" width="16.33203125" style="28" customWidth="1"/>
    <col min="11533" max="11533" width="2.109375" style="28" customWidth="1"/>
    <col min="11534" max="11534" width="42" style="28" customWidth="1"/>
    <col min="11535" max="11535" width="11.44140625" style="28" customWidth="1"/>
    <col min="11536" max="11536" width="8.5546875" style="28" customWidth="1"/>
    <col min="11537" max="11537" width="11.109375" style="28" customWidth="1"/>
    <col min="11538" max="11538" width="11.44140625" style="28" customWidth="1"/>
    <col min="11539" max="11539" width="18.88671875" style="28" customWidth="1"/>
    <col min="11540" max="11549" width="11.109375" style="28"/>
    <col min="11550" max="11550" width="13.6640625" style="28" customWidth="1"/>
    <col min="11551" max="11551" width="11.109375" style="28"/>
    <col min="11552" max="11552" width="13.6640625" style="28" customWidth="1"/>
    <col min="11553" max="11555" width="11.109375" style="28"/>
    <col min="11556" max="11556" width="7.33203125" style="28" customWidth="1"/>
    <col min="11557" max="11776" width="11.109375" style="28"/>
    <col min="11777" max="11777" width="4.6640625" style="28" customWidth="1"/>
    <col min="11778" max="11778" width="24" style="28" customWidth="1"/>
    <col min="11779" max="11779" width="7.5546875" style="28" customWidth="1"/>
    <col min="11780" max="11780" width="13.44140625" style="28" customWidth="1"/>
    <col min="11781" max="11781" width="11.109375" style="28" customWidth="1"/>
    <col min="11782" max="11782" width="16.33203125" style="28" customWidth="1"/>
    <col min="11783" max="11783" width="2.109375" style="28" customWidth="1"/>
    <col min="11784" max="11784" width="25.33203125" style="28" customWidth="1"/>
    <col min="11785" max="11785" width="4.33203125" style="28" customWidth="1"/>
    <col min="11786" max="11786" width="13.6640625" style="28" customWidth="1"/>
    <col min="11787" max="11787" width="13.88671875" style="28" customWidth="1"/>
    <col min="11788" max="11788" width="16.33203125" style="28" customWidth="1"/>
    <col min="11789" max="11789" width="2.109375" style="28" customWidth="1"/>
    <col min="11790" max="11790" width="42" style="28" customWidth="1"/>
    <col min="11791" max="11791" width="11.44140625" style="28" customWidth="1"/>
    <col min="11792" max="11792" width="8.5546875" style="28" customWidth="1"/>
    <col min="11793" max="11793" width="11.109375" style="28" customWidth="1"/>
    <col min="11794" max="11794" width="11.44140625" style="28" customWidth="1"/>
    <col min="11795" max="11795" width="18.88671875" style="28" customWidth="1"/>
    <col min="11796" max="11805" width="11.109375" style="28"/>
    <col min="11806" max="11806" width="13.6640625" style="28" customWidth="1"/>
    <col min="11807" max="11807" width="11.109375" style="28"/>
    <col min="11808" max="11808" width="13.6640625" style="28" customWidth="1"/>
    <col min="11809" max="11811" width="11.109375" style="28"/>
    <col min="11812" max="11812" width="7.33203125" style="28" customWidth="1"/>
    <col min="11813" max="12032" width="11.109375" style="28"/>
    <col min="12033" max="12033" width="4.6640625" style="28" customWidth="1"/>
    <col min="12034" max="12034" width="24" style="28" customWidth="1"/>
    <col min="12035" max="12035" width="7.5546875" style="28" customWidth="1"/>
    <col min="12036" max="12036" width="13.44140625" style="28" customWidth="1"/>
    <col min="12037" max="12037" width="11.109375" style="28" customWidth="1"/>
    <col min="12038" max="12038" width="16.33203125" style="28" customWidth="1"/>
    <col min="12039" max="12039" width="2.109375" style="28" customWidth="1"/>
    <col min="12040" max="12040" width="25.33203125" style="28" customWidth="1"/>
    <col min="12041" max="12041" width="4.33203125" style="28" customWidth="1"/>
    <col min="12042" max="12042" width="13.6640625" style="28" customWidth="1"/>
    <col min="12043" max="12043" width="13.88671875" style="28" customWidth="1"/>
    <col min="12044" max="12044" width="16.33203125" style="28" customWidth="1"/>
    <col min="12045" max="12045" width="2.109375" style="28" customWidth="1"/>
    <col min="12046" max="12046" width="42" style="28" customWidth="1"/>
    <col min="12047" max="12047" width="11.44140625" style="28" customWidth="1"/>
    <col min="12048" max="12048" width="8.5546875" style="28" customWidth="1"/>
    <col min="12049" max="12049" width="11.109375" style="28" customWidth="1"/>
    <col min="12050" max="12050" width="11.44140625" style="28" customWidth="1"/>
    <col min="12051" max="12051" width="18.88671875" style="28" customWidth="1"/>
    <col min="12052" max="12061" width="11.109375" style="28"/>
    <col min="12062" max="12062" width="13.6640625" style="28" customWidth="1"/>
    <col min="12063" max="12063" width="11.109375" style="28"/>
    <col min="12064" max="12064" width="13.6640625" style="28" customWidth="1"/>
    <col min="12065" max="12067" width="11.109375" style="28"/>
    <col min="12068" max="12068" width="7.33203125" style="28" customWidth="1"/>
    <col min="12069" max="12288" width="11.109375" style="28"/>
    <col min="12289" max="12289" width="4.6640625" style="28" customWidth="1"/>
    <col min="12290" max="12290" width="24" style="28" customWidth="1"/>
    <col min="12291" max="12291" width="7.5546875" style="28" customWidth="1"/>
    <col min="12292" max="12292" width="13.44140625" style="28" customWidth="1"/>
    <col min="12293" max="12293" width="11.109375" style="28" customWidth="1"/>
    <col min="12294" max="12294" width="16.33203125" style="28" customWidth="1"/>
    <col min="12295" max="12295" width="2.109375" style="28" customWidth="1"/>
    <col min="12296" max="12296" width="25.33203125" style="28" customWidth="1"/>
    <col min="12297" max="12297" width="4.33203125" style="28" customWidth="1"/>
    <col min="12298" max="12298" width="13.6640625" style="28" customWidth="1"/>
    <col min="12299" max="12299" width="13.88671875" style="28" customWidth="1"/>
    <col min="12300" max="12300" width="16.33203125" style="28" customWidth="1"/>
    <col min="12301" max="12301" width="2.109375" style="28" customWidth="1"/>
    <col min="12302" max="12302" width="42" style="28" customWidth="1"/>
    <col min="12303" max="12303" width="11.44140625" style="28" customWidth="1"/>
    <col min="12304" max="12304" width="8.5546875" style="28" customWidth="1"/>
    <col min="12305" max="12305" width="11.109375" style="28" customWidth="1"/>
    <col min="12306" max="12306" width="11.44140625" style="28" customWidth="1"/>
    <col min="12307" max="12307" width="18.88671875" style="28" customWidth="1"/>
    <col min="12308" max="12317" width="11.109375" style="28"/>
    <col min="12318" max="12318" width="13.6640625" style="28" customWidth="1"/>
    <col min="12319" max="12319" width="11.109375" style="28"/>
    <col min="12320" max="12320" width="13.6640625" style="28" customWidth="1"/>
    <col min="12321" max="12323" width="11.109375" style="28"/>
    <col min="12324" max="12324" width="7.33203125" style="28" customWidth="1"/>
    <col min="12325" max="12544" width="11.109375" style="28"/>
    <col min="12545" max="12545" width="4.6640625" style="28" customWidth="1"/>
    <col min="12546" max="12546" width="24" style="28" customWidth="1"/>
    <col min="12547" max="12547" width="7.5546875" style="28" customWidth="1"/>
    <col min="12548" max="12548" width="13.44140625" style="28" customWidth="1"/>
    <col min="12549" max="12549" width="11.109375" style="28" customWidth="1"/>
    <col min="12550" max="12550" width="16.33203125" style="28" customWidth="1"/>
    <col min="12551" max="12551" width="2.109375" style="28" customWidth="1"/>
    <col min="12552" max="12552" width="25.33203125" style="28" customWidth="1"/>
    <col min="12553" max="12553" width="4.33203125" style="28" customWidth="1"/>
    <col min="12554" max="12554" width="13.6640625" style="28" customWidth="1"/>
    <col min="12555" max="12555" width="13.88671875" style="28" customWidth="1"/>
    <col min="12556" max="12556" width="16.33203125" style="28" customWidth="1"/>
    <col min="12557" max="12557" width="2.109375" style="28" customWidth="1"/>
    <col min="12558" max="12558" width="42" style="28" customWidth="1"/>
    <col min="12559" max="12559" width="11.44140625" style="28" customWidth="1"/>
    <col min="12560" max="12560" width="8.5546875" style="28" customWidth="1"/>
    <col min="12561" max="12561" width="11.109375" style="28" customWidth="1"/>
    <col min="12562" max="12562" width="11.44140625" style="28" customWidth="1"/>
    <col min="12563" max="12563" width="18.88671875" style="28" customWidth="1"/>
    <col min="12564" max="12573" width="11.109375" style="28"/>
    <col min="12574" max="12574" width="13.6640625" style="28" customWidth="1"/>
    <col min="12575" max="12575" width="11.109375" style="28"/>
    <col min="12576" max="12576" width="13.6640625" style="28" customWidth="1"/>
    <col min="12577" max="12579" width="11.109375" style="28"/>
    <col min="12580" max="12580" width="7.33203125" style="28" customWidth="1"/>
    <col min="12581" max="12800" width="11.109375" style="28"/>
    <col min="12801" max="12801" width="4.6640625" style="28" customWidth="1"/>
    <col min="12802" max="12802" width="24" style="28" customWidth="1"/>
    <col min="12803" max="12803" width="7.5546875" style="28" customWidth="1"/>
    <col min="12804" max="12804" width="13.44140625" style="28" customWidth="1"/>
    <col min="12805" max="12805" width="11.109375" style="28" customWidth="1"/>
    <col min="12806" max="12806" width="16.33203125" style="28" customWidth="1"/>
    <col min="12807" max="12807" width="2.109375" style="28" customWidth="1"/>
    <col min="12808" max="12808" width="25.33203125" style="28" customWidth="1"/>
    <col min="12809" max="12809" width="4.33203125" style="28" customWidth="1"/>
    <col min="12810" max="12810" width="13.6640625" style="28" customWidth="1"/>
    <col min="12811" max="12811" width="13.88671875" style="28" customWidth="1"/>
    <col min="12812" max="12812" width="16.33203125" style="28" customWidth="1"/>
    <col min="12813" max="12813" width="2.109375" style="28" customWidth="1"/>
    <col min="12814" max="12814" width="42" style="28" customWidth="1"/>
    <col min="12815" max="12815" width="11.44140625" style="28" customWidth="1"/>
    <col min="12816" max="12816" width="8.5546875" style="28" customWidth="1"/>
    <col min="12817" max="12817" width="11.109375" style="28" customWidth="1"/>
    <col min="12818" max="12818" width="11.44140625" style="28" customWidth="1"/>
    <col min="12819" max="12819" width="18.88671875" style="28" customWidth="1"/>
    <col min="12820" max="12829" width="11.109375" style="28"/>
    <col min="12830" max="12830" width="13.6640625" style="28" customWidth="1"/>
    <col min="12831" max="12831" width="11.109375" style="28"/>
    <col min="12832" max="12832" width="13.6640625" style="28" customWidth="1"/>
    <col min="12833" max="12835" width="11.109375" style="28"/>
    <col min="12836" max="12836" width="7.33203125" style="28" customWidth="1"/>
    <col min="12837" max="13056" width="11.109375" style="28"/>
    <col min="13057" max="13057" width="4.6640625" style="28" customWidth="1"/>
    <col min="13058" max="13058" width="24" style="28" customWidth="1"/>
    <col min="13059" max="13059" width="7.5546875" style="28" customWidth="1"/>
    <col min="13060" max="13060" width="13.44140625" style="28" customWidth="1"/>
    <col min="13061" max="13061" width="11.109375" style="28" customWidth="1"/>
    <col min="13062" max="13062" width="16.33203125" style="28" customWidth="1"/>
    <col min="13063" max="13063" width="2.109375" style="28" customWidth="1"/>
    <col min="13064" max="13064" width="25.33203125" style="28" customWidth="1"/>
    <col min="13065" max="13065" width="4.33203125" style="28" customWidth="1"/>
    <col min="13066" max="13066" width="13.6640625" style="28" customWidth="1"/>
    <col min="13067" max="13067" width="13.88671875" style="28" customWidth="1"/>
    <col min="13068" max="13068" width="16.33203125" style="28" customWidth="1"/>
    <col min="13069" max="13069" width="2.109375" style="28" customWidth="1"/>
    <col min="13070" max="13070" width="42" style="28" customWidth="1"/>
    <col min="13071" max="13071" width="11.44140625" style="28" customWidth="1"/>
    <col min="13072" max="13072" width="8.5546875" style="28" customWidth="1"/>
    <col min="13073" max="13073" width="11.109375" style="28" customWidth="1"/>
    <col min="13074" max="13074" width="11.44140625" style="28" customWidth="1"/>
    <col min="13075" max="13075" width="18.88671875" style="28" customWidth="1"/>
    <col min="13076" max="13085" width="11.109375" style="28"/>
    <col min="13086" max="13086" width="13.6640625" style="28" customWidth="1"/>
    <col min="13087" max="13087" width="11.109375" style="28"/>
    <col min="13088" max="13088" width="13.6640625" style="28" customWidth="1"/>
    <col min="13089" max="13091" width="11.109375" style="28"/>
    <col min="13092" max="13092" width="7.33203125" style="28" customWidth="1"/>
    <col min="13093" max="13312" width="11.109375" style="28"/>
    <col min="13313" max="13313" width="4.6640625" style="28" customWidth="1"/>
    <col min="13314" max="13314" width="24" style="28" customWidth="1"/>
    <col min="13315" max="13315" width="7.5546875" style="28" customWidth="1"/>
    <col min="13316" max="13316" width="13.44140625" style="28" customWidth="1"/>
    <col min="13317" max="13317" width="11.109375" style="28" customWidth="1"/>
    <col min="13318" max="13318" width="16.33203125" style="28" customWidth="1"/>
    <col min="13319" max="13319" width="2.109375" style="28" customWidth="1"/>
    <col min="13320" max="13320" width="25.33203125" style="28" customWidth="1"/>
    <col min="13321" max="13321" width="4.33203125" style="28" customWidth="1"/>
    <col min="13322" max="13322" width="13.6640625" style="28" customWidth="1"/>
    <col min="13323" max="13323" width="13.88671875" style="28" customWidth="1"/>
    <col min="13324" max="13324" width="16.33203125" style="28" customWidth="1"/>
    <col min="13325" max="13325" width="2.109375" style="28" customWidth="1"/>
    <col min="13326" max="13326" width="42" style="28" customWidth="1"/>
    <col min="13327" max="13327" width="11.44140625" style="28" customWidth="1"/>
    <col min="13328" max="13328" width="8.5546875" style="28" customWidth="1"/>
    <col min="13329" max="13329" width="11.109375" style="28" customWidth="1"/>
    <col min="13330" max="13330" width="11.44140625" style="28" customWidth="1"/>
    <col min="13331" max="13331" width="18.88671875" style="28" customWidth="1"/>
    <col min="13332" max="13341" width="11.109375" style="28"/>
    <col min="13342" max="13342" width="13.6640625" style="28" customWidth="1"/>
    <col min="13343" max="13343" width="11.109375" style="28"/>
    <col min="13344" max="13344" width="13.6640625" style="28" customWidth="1"/>
    <col min="13345" max="13347" width="11.109375" style="28"/>
    <col min="13348" max="13348" width="7.33203125" style="28" customWidth="1"/>
    <col min="13349" max="13568" width="11.109375" style="28"/>
    <col min="13569" max="13569" width="4.6640625" style="28" customWidth="1"/>
    <col min="13570" max="13570" width="24" style="28" customWidth="1"/>
    <col min="13571" max="13571" width="7.5546875" style="28" customWidth="1"/>
    <col min="13572" max="13572" width="13.44140625" style="28" customWidth="1"/>
    <col min="13573" max="13573" width="11.109375" style="28" customWidth="1"/>
    <col min="13574" max="13574" width="16.33203125" style="28" customWidth="1"/>
    <col min="13575" max="13575" width="2.109375" style="28" customWidth="1"/>
    <col min="13576" max="13576" width="25.33203125" style="28" customWidth="1"/>
    <col min="13577" max="13577" width="4.33203125" style="28" customWidth="1"/>
    <col min="13578" max="13578" width="13.6640625" style="28" customWidth="1"/>
    <col min="13579" max="13579" width="13.88671875" style="28" customWidth="1"/>
    <col min="13580" max="13580" width="16.33203125" style="28" customWidth="1"/>
    <col min="13581" max="13581" width="2.109375" style="28" customWidth="1"/>
    <col min="13582" max="13582" width="42" style="28" customWidth="1"/>
    <col min="13583" max="13583" width="11.44140625" style="28" customWidth="1"/>
    <col min="13584" max="13584" width="8.5546875" style="28" customWidth="1"/>
    <col min="13585" max="13585" width="11.109375" style="28" customWidth="1"/>
    <col min="13586" max="13586" width="11.44140625" style="28" customWidth="1"/>
    <col min="13587" max="13587" width="18.88671875" style="28" customWidth="1"/>
    <col min="13588" max="13597" width="11.109375" style="28"/>
    <col min="13598" max="13598" width="13.6640625" style="28" customWidth="1"/>
    <col min="13599" max="13599" width="11.109375" style="28"/>
    <col min="13600" max="13600" width="13.6640625" style="28" customWidth="1"/>
    <col min="13601" max="13603" width="11.109375" style="28"/>
    <col min="13604" max="13604" width="7.33203125" style="28" customWidth="1"/>
    <col min="13605" max="13824" width="11.109375" style="28"/>
    <col min="13825" max="13825" width="4.6640625" style="28" customWidth="1"/>
    <col min="13826" max="13826" width="24" style="28" customWidth="1"/>
    <col min="13827" max="13827" width="7.5546875" style="28" customWidth="1"/>
    <col min="13828" max="13828" width="13.44140625" style="28" customWidth="1"/>
    <col min="13829" max="13829" width="11.109375" style="28" customWidth="1"/>
    <col min="13830" max="13830" width="16.33203125" style="28" customWidth="1"/>
    <col min="13831" max="13831" width="2.109375" style="28" customWidth="1"/>
    <col min="13832" max="13832" width="25.33203125" style="28" customWidth="1"/>
    <col min="13833" max="13833" width="4.33203125" style="28" customWidth="1"/>
    <col min="13834" max="13834" width="13.6640625" style="28" customWidth="1"/>
    <col min="13835" max="13835" width="13.88671875" style="28" customWidth="1"/>
    <col min="13836" max="13836" width="16.33203125" style="28" customWidth="1"/>
    <col min="13837" max="13837" width="2.109375" style="28" customWidth="1"/>
    <col min="13838" max="13838" width="42" style="28" customWidth="1"/>
    <col min="13839" max="13839" width="11.44140625" style="28" customWidth="1"/>
    <col min="13840" max="13840" width="8.5546875" style="28" customWidth="1"/>
    <col min="13841" max="13841" width="11.109375" style="28" customWidth="1"/>
    <col min="13842" max="13842" width="11.44140625" style="28" customWidth="1"/>
    <col min="13843" max="13843" width="18.88671875" style="28" customWidth="1"/>
    <col min="13844" max="13853" width="11.109375" style="28"/>
    <col min="13854" max="13854" width="13.6640625" style="28" customWidth="1"/>
    <col min="13855" max="13855" width="11.109375" style="28"/>
    <col min="13856" max="13856" width="13.6640625" style="28" customWidth="1"/>
    <col min="13857" max="13859" width="11.109375" style="28"/>
    <col min="13860" max="13860" width="7.33203125" style="28" customWidth="1"/>
    <col min="13861" max="14080" width="11.109375" style="28"/>
    <col min="14081" max="14081" width="4.6640625" style="28" customWidth="1"/>
    <col min="14082" max="14082" width="24" style="28" customWidth="1"/>
    <col min="14083" max="14083" width="7.5546875" style="28" customWidth="1"/>
    <col min="14084" max="14084" width="13.44140625" style="28" customWidth="1"/>
    <col min="14085" max="14085" width="11.109375" style="28" customWidth="1"/>
    <col min="14086" max="14086" width="16.33203125" style="28" customWidth="1"/>
    <col min="14087" max="14087" width="2.109375" style="28" customWidth="1"/>
    <col min="14088" max="14088" width="25.33203125" style="28" customWidth="1"/>
    <col min="14089" max="14089" width="4.33203125" style="28" customWidth="1"/>
    <col min="14090" max="14090" width="13.6640625" style="28" customWidth="1"/>
    <col min="14091" max="14091" width="13.88671875" style="28" customWidth="1"/>
    <col min="14092" max="14092" width="16.33203125" style="28" customWidth="1"/>
    <col min="14093" max="14093" width="2.109375" style="28" customWidth="1"/>
    <col min="14094" max="14094" width="42" style="28" customWidth="1"/>
    <col min="14095" max="14095" width="11.44140625" style="28" customWidth="1"/>
    <col min="14096" max="14096" width="8.5546875" style="28" customWidth="1"/>
    <col min="14097" max="14097" width="11.109375" style="28" customWidth="1"/>
    <col min="14098" max="14098" width="11.44140625" style="28" customWidth="1"/>
    <col min="14099" max="14099" width="18.88671875" style="28" customWidth="1"/>
    <col min="14100" max="14109" width="11.109375" style="28"/>
    <col min="14110" max="14110" width="13.6640625" style="28" customWidth="1"/>
    <col min="14111" max="14111" width="11.109375" style="28"/>
    <col min="14112" max="14112" width="13.6640625" style="28" customWidth="1"/>
    <col min="14113" max="14115" width="11.109375" style="28"/>
    <col min="14116" max="14116" width="7.33203125" style="28" customWidth="1"/>
    <col min="14117" max="14336" width="11.109375" style="28"/>
    <col min="14337" max="14337" width="4.6640625" style="28" customWidth="1"/>
    <col min="14338" max="14338" width="24" style="28" customWidth="1"/>
    <col min="14339" max="14339" width="7.5546875" style="28" customWidth="1"/>
    <col min="14340" max="14340" width="13.44140625" style="28" customWidth="1"/>
    <col min="14341" max="14341" width="11.109375" style="28" customWidth="1"/>
    <col min="14342" max="14342" width="16.33203125" style="28" customWidth="1"/>
    <col min="14343" max="14343" width="2.109375" style="28" customWidth="1"/>
    <col min="14344" max="14344" width="25.33203125" style="28" customWidth="1"/>
    <col min="14345" max="14345" width="4.33203125" style="28" customWidth="1"/>
    <col min="14346" max="14346" width="13.6640625" style="28" customWidth="1"/>
    <col min="14347" max="14347" width="13.88671875" style="28" customWidth="1"/>
    <col min="14348" max="14348" width="16.33203125" style="28" customWidth="1"/>
    <col min="14349" max="14349" width="2.109375" style="28" customWidth="1"/>
    <col min="14350" max="14350" width="42" style="28" customWidth="1"/>
    <col min="14351" max="14351" width="11.44140625" style="28" customWidth="1"/>
    <col min="14352" max="14352" width="8.5546875" style="28" customWidth="1"/>
    <col min="14353" max="14353" width="11.109375" style="28" customWidth="1"/>
    <col min="14354" max="14354" width="11.44140625" style="28" customWidth="1"/>
    <col min="14355" max="14355" width="18.88671875" style="28" customWidth="1"/>
    <col min="14356" max="14365" width="11.109375" style="28"/>
    <col min="14366" max="14366" width="13.6640625" style="28" customWidth="1"/>
    <col min="14367" max="14367" width="11.109375" style="28"/>
    <col min="14368" max="14368" width="13.6640625" style="28" customWidth="1"/>
    <col min="14369" max="14371" width="11.109375" style="28"/>
    <col min="14372" max="14372" width="7.33203125" style="28" customWidth="1"/>
    <col min="14373" max="14592" width="11.109375" style="28"/>
    <col min="14593" max="14593" width="4.6640625" style="28" customWidth="1"/>
    <col min="14594" max="14594" width="24" style="28" customWidth="1"/>
    <col min="14595" max="14595" width="7.5546875" style="28" customWidth="1"/>
    <col min="14596" max="14596" width="13.44140625" style="28" customWidth="1"/>
    <col min="14597" max="14597" width="11.109375" style="28" customWidth="1"/>
    <col min="14598" max="14598" width="16.33203125" style="28" customWidth="1"/>
    <col min="14599" max="14599" width="2.109375" style="28" customWidth="1"/>
    <col min="14600" max="14600" width="25.33203125" style="28" customWidth="1"/>
    <col min="14601" max="14601" width="4.33203125" style="28" customWidth="1"/>
    <col min="14602" max="14602" width="13.6640625" style="28" customWidth="1"/>
    <col min="14603" max="14603" width="13.88671875" style="28" customWidth="1"/>
    <col min="14604" max="14604" width="16.33203125" style="28" customWidth="1"/>
    <col min="14605" max="14605" width="2.109375" style="28" customWidth="1"/>
    <col min="14606" max="14606" width="42" style="28" customWidth="1"/>
    <col min="14607" max="14607" width="11.44140625" style="28" customWidth="1"/>
    <col min="14608" max="14608" width="8.5546875" style="28" customWidth="1"/>
    <col min="14609" max="14609" width="11.109375" style="28" customWidth="1"/>
    <col min="14610" max="14610" width="11.44140625" style="28" customWidth="1"/>
    <col min="14611" max="14611" width="18.88671875" style="28" customWidth="1"/>
    <col min="14612" max="14621" width="11.109375" style="28"/>
    <col min="14622" max="14622" width="13.6640625" style="28" customWidth="1"/>
    <col min="14623" max="14623" width="11.109375" style="28"/>
    <col min="14624" max="14624" width="13.6640625" style="28" customWidth="1"/>
    <col min="14625" max="14627" width="11.109375" style="28"/>
    <col min="14628" max="14628" width="7.33203125" style="28" customWidth="1"/>
    <col min="14629" max="14848" width="11.109375" style="28"/>
    <col min="14849" max="14849" width="4.6640625" style="28" customWidth="1"/>
    <col min="14850" max="14850" width="24" style="28" customWidth="1"/>
    <col min="14851" max="14851" width="7.5546875" style="28" customWidth="1"/>
    <col min="14852" max="14852" width="13.44140625" style="28" customWidth="1"/>
    <col min="14853" max="14853" width="11.109375" style="28" customWidth="1"/>
    <col min="14854" max="14854" width="16.33203125" style="28" customWidth="1"/>
    <col min="14855" max="14855" width="2.109375" style="28" customWidth="1"/>
    <col min="14856" max="14856" width="25.33203125" style="28" customWidth="1"/>
    <col min="14857" max="14857" width="4.33203125" style="28" customWidth="1"/>
    <col min="14858" max="14858" width="13.6640625" style="28" customWidth="1"/>
    <col min="14859" max="14859" width="13.88671875" style="28" customWidth="1"/>
    <col min="14860" max="14860" width="16.33203125" style="28" customWidth="1"/>
    <col min="14861" max="14861" width="2.109375" style="28" customWidth="1"/>
    <col min="14862" max="14862" width="42" style="28" customWidth="1"/>
    <col min="14863" max="14863" width="11.44140625" style="28" customWidth="1"/>
    <col min="14864" max="14864" width="8.5546875" style="28" customWidth="1"/>
    <col min="14865" max="14865" width="11.109375" style="28" customWidth="1"/>
    <col min="14866" max="14866" width="11.44140625" style="28" customWidth="1"/>
    <col min="14867" max="14867" width="18.88671875" style="28" customWidth="1"/>
    <col min="14868" max="14877" width="11.109375" style="28"/>
    <col min="14878" max="14878" width="13.6640625" style="28" customWidth="1"/>
    <col min="14879" max="14879" width="11.109375" style="28"/>
    <col min="14880" max="14880" width="13.6640625" style="28" customWidth="1"/>
    <col min="14881" max="14883" width="11.109375" style="28"/>
    <col min="14884" max="14884" width="7.33203125" style="28" customWidth="1"/>
    <col min="14885" max="15104" width="11.109375" style="28"/>
    <col min="15105" max="15105" width="4.6640625" style="28" customWidth="1"/>
    <col min="15106" max="15106" width="24" style="28" customWidth="1"/>
    <col min="15107" max="15107" width="7.5546875" style="28" customWidth="1"/>
    <col min="15108" max="15108" width="13.44140625" style="28" customWidth="1"/>
    <col min="15109" max="15109" width="11.109375" style="28" customWidth="1"/>
    <col min="15110" max="15110" width="16.33203125" style="28" customWidth="1"/>
    <col min="15111" max="15111" width="2.109375" style="28" customWidth="1"/>
    <col min="15112" max="15112" width="25.33203125" style="28" customWidth="1"/>
    <col min="15113" max="15113" width="4.33203125" style="28" customWidth="1"/>
    <col min="15114" max="15114" width="13.6640625" style="28" customWidth="1"/>
    <col min="15115" max="15115" width="13.88671875" style="28" customWidth="1"/>
    <col min="15116" max="15116" width="16.33203125" style="28" customWidth="1"/>
    <col min="15117" max="15117" width="2.109375" style="28" customWidth="1"/>
    <col min="15118" max="15118" width="42" style="28" customWidth="1"/>
    <col min="15119" max="15119" width="11.44140625" style="28" customWidth="1"/>
    <col min="15120" max="15120" width="8.5546875" style="28" customWidth="1"/>
    <col min="15121" max="15121" width="11.109375" style="28" customWidth="1"/>
    <col min="15122" max="15122" width="11.44140625" style="28" customWidth="1"/>
    <col min="15123" max="15123" width="18.88671875" style="28" customWidth="1"/>
    <col min="15124" max="15133" width="11.109375" style="28"/>
    <col min="15134" max="15134" width="13.6640625" style="28" customWidth="1"/>
    <col min="15135" max="15135" width="11.109375" style="28"/>
    <col min="15136" max="15136" width="13.6640625" style="28" customWidth="1"/>
    <col min="15137" max="15139" width="11.109375" style="28"/>
    <col min="15140" max="15140" width="7.33203125" style="28" customWidth="1"/>
    <col min="15141" max="15360" width="11.109375" style="28"/>
    <col min="15361" max="15361" width="4.6640625" style="28" customWidth="1"/>
    <col min="15362" max="15362" width="24" style="28" customWidth="1"/>
    <col min="15363" max="15363" width="7.5546875" style="28" customWidth="1"/>
    <col min="15364" max="15364" width="13.44140625" style="28" customWidth="1"/>
    <col min="15365" max="15365" width="11.109375" style="28" customWidth="1"/>
    <col min="15366" max="15366" width="16.33203125" style="28" customWidth="1"/>
    <col min="15367" max="15367" width="2.109375" style="28" customWidth="1"/>
    <col min="15368" max="15368" width="25.33203125" style="28" customWidth="1"/>
    <col min="15369" max="15369" width="4.33203125" style="28" customWidth="1"/>
    <col min="15370" max="15370" width="13.6640625" style="28" customWidth="1"/>
    <col min="15371" max="15371" width="13.88671875" style="28" customWidth="1"/>
    <col min="15372" max="15372" width="16.33203125" style="28" customWidth="1"/>
    <col min="15373" max="15373" width="2.109375" style="28" customWidth="1"/>
    <col min="15374" max="15374" width="42" style="28" customWidth="1"/>
    <col min="15375" max="15375" width="11.44140625" style="28" customWidth="1"/>
    <col min="15376" max="15376" width="8.5546875" style="28" customWidth="1"/>
    <col min="15377" max="15377" width="11.109375" style="28" customWidth="1"/>
    <col min="15378" max="15378" width="11.44140625" style="28" customWidth="1"/>
    <col min="15379" max="15379" width="18.88671875" style="28" customWidth="1"/>
    <col min="15380" max="15389" width="11.109375" style="28"/>
    <col min="15390" max="15390" width="13.6640625" style="28" customWidth="1"/>
    <col min="15391" max="15391" width="11.109375" style="28"/>
    <col min="15392" max="15392" width="13.6640625" style="28" customWidth="1"/>
    <col min="15393" max="15395" width="11.109375" style="28"/>
    <col min="15396" max="15396" width="7.33203125" style="28" customWidth="1"/>
    <col min="15397" max="15616" width="11.109375" style="28"/>
    <col min="15617" max="15617" width="4.6640625" style="28" customWidth="1"/>
    <col min="15618" max="15618" width="24" style="28" customWidth="1"/>
    <col min="15619" max="15619" width="7.5546875" style="28" customWidth="1"/>
    <col min="15620" max="15620" width="13.44140625" style="28" customWidth="1"/>
    <col min="15621" max="15621" width="11.109375" style="28" customWidth="1"/>
    <col min="15622" max="15622" width="16.33203125" style="28" customWidth="1"/>
    <col min="15623" max="15623" width="2.109375" style="28" customWidth="1"/>
    <col min="15624" max="15624" width="25.33203125" style="28" customWidth="1"/>
    <col min="15625" max="15625" width="4.33203125" style="28" customWidth="1"/>
    <col min="15626" max="15626" width="13.6640625" style="28" customWidth="1"/>
    <col min="15627" max="15627" width="13.88671875" style="28" customWidth="1"/>
    <col min="15628" max="15628" width="16.33203125" style="28" customWidth="1"/>
    <col min="15629" max="15629" width="2.109375" style="28" customWidth="1"/>
    <col min="15630" max="15630" width="42" style="28" customWidth="1"/>
    <col min="15631" max="15631" width="11.44140625" style="28" customWidth="1"/>
    <col min="15632" max="15632" width="8.5546875" style="28" customWidth="1"/>
    <col min="15633" max="15633" width="11.109375" style="28" customWidth="1"/>
    <col min="15634" max="15634" width="11.44140625" style="28" customWidth="1"/>
    <col min="15635" max="15635" width="18.88671875" style="28" customWidth="1"/>
    <col min="15636" max="15645" width="11.109375" style="28"/>
    <col min="15646" max="15646" width="13.6640625" style="28" customWidth="1"/>
    <col min="15647" max="15647" width="11.109375" style="28"/>
    <col min="15648" max="15648" width="13.6640625" style="28" customWidth="1"/>
    <col min="15649" max="15651" width="11.109375" style="28"/>
    <col min="15652" max="15652" width="7.33203125" style="28" customWidth="1"/>
    <col min="15653" max="15872" width="11.109375" style="28"/>
    <col min="15873" max="15873" width="4.6640625" style="28" customWidth="1"/>
    <col min="15874" max="15874" width="24" style="28" customWidth="1"/>
    <col min="15875" max="15875" width="7.5546875" style="28" customWidth="1"/>
    <col min="15876" max="15876" width="13.44140625" style="28" customWidth="1"/>
    <col min="15877" max="15877" width="11.109375" style="28" customWidth="1"/>
    <col min="15878" max="15878" width="16.33203125" style="28" customWidth="1"/>
    <col min="15879" max="15879" width="2.109375" style="28" customWidth="1"/>
    <col min="15880" max="15880" width="25.33203125" style="28" customWidth="1"/>
    <col min="15881" max="15881" width="4.33203125" style="28" customWidth="1"/>
    <col min="15882" max="15882" width="13.6640625" style="28" customWidth="1"/>
    <col min="15883" max="15883" width="13.88671875" style="28" customWidth="1"/>
    <col min="15884" max="15884" width="16.33203125" style="28" customWidth="1"/>
    <col min="15885" max="15885" width="2.109375" style="28" customWidth="1"/>
    <col min="15886" max="15886" width="42" style="28" customWidth="1"/>
    <col min="15887" max="15887" width="11.44140625" style="28" customWidth="1"/>
    <col min="15888" max="15888" width="8.5546875" style="28" customWidth="1"/>
    <col min="15889" max="15889" width="11.109375" style="28" customWidth="1"/>
    <col min="15890" max="15890" width="11.44140625" style="28" customWidth="1"/>
    <col min="15891" max="15891" width="18.88671875" style="28" customWidth="1"/>
    <col min="15892" max="15901" width="11.109375" style="28"/>
    <col min="15902" max="15902" width="13.6640625" style="28" customWidth="1"/>
    <col min="15903" max="15903" width="11.109375" style="28"/>
    <col min="15904" max="15904" width="13.6640625" style="28" customWidth="1"/>
    <col min="15905" max="15907" width="11.109375" style="28"/>
    <col min="15908" max="15908" width="7.33203125" style="28" customWidth="1"/>
    <col min="15909" max="16128" width="11.109375" style="28"/>
    <col min="16129" max="16129" width="4.6640625" style="28" customWidth="1"/>
    <col min="16130" max="16130" width="24" style="28" customWidth="1"/>
    <col min="16131" max="16131" width="7.5546875" style="28" customWidth="1"/>
    <col min="16132" max="16132" width="13.44140625" style="28" customWidth="1"/>
    <col min="16133" max="16133" width="11.109375" style="28" customWidth="1"/>
    <col min="16134" max="16134" width="16.33203125" style="28" customWidth="1"/>
    <col min="16135" max="16135" width="2.109375" style="28" customWidth="1"/>
    <col min="16136" max="16136" width="25.33203125" style="28" customWidth="1"/>
    <col min="16137" max="16137" width="4.33203125" style="28" customWidth="1"/>
    <col min="16138" max="16138" width="13.6640625" style="28" customWidth="1"/>
    <col min="16139" max="16139" width="13.88671875" style="28" customWidth="1"/>
    <col min="16140" max="16140" width="16.33203125" style="28" customWidth="1"/>
    <col min="16141" max="16141" width="2.109375" style="28" customWidth="1"/>
    <col min="16142" max="16142" width="42" style="28" customWidth="1"/>
    <col min="16143" max="16143" width="11.44140625" style="28" customWidth="1"/>
    <col min="16144" max="16144" width="8.5546875" style="28" customWidth="1"/>
    <col min="16145" max="16145" width="11.109375" style="28" customWidth="1"/>
    <col min="16146" max="16146" width="11.44140625" style="28" customWidth="1"/>
    <col min="16147" max="16147" width="18.88671875" style="28" customWidth="1"/>
    <col min="16148" max="16157" width="11.109375" style="28"/>
    <col min="16158" max="16158" width="13.6640625" style="28" customWidth="1"/>
    <col min="16159" max="16159" width="11.109375" style="28"/>
    <col min="16160" max="16160" width="13.6640625" style="28" customWidth="1"/>
    <col min="16161" max="16163" width="11.109375" style="28"/>
    <col min="16164" max="16164" width="7.33203125" style="28" customWidth="1"/>
    <col min="16165" max="16384" width="11.109375" style="28"/>
  </cols>
  <sheetData>
    <row r="1" spans="1:19" ht="21.9" customHeight="1" thickTop="1" x14ac:dyDescent="0.3">
      <c r="A1" s="18"/>
      <c r="B1" s="19" t="s">
        <v>169</v>
      </c>
      <c r="C1" s="20"/>
      <c r="D1" s="21"/>
      <c r="E1" s="22" t="s">
        <v>170</v>
      </c>
      <c r="F1" s="21"/>
      <c r="G1" s="23"/>
      <c r="H1" s="24" t="s">
        <v>171</v>
      </c>
      <c r="I1" s="24"/>
      <c r="J1" s="21"/>
      <c r="K1" s="21"/>
      <c r="L1" s="21"/>
      <c r="M1" s="21"/>
      <c r="N1" s="25" t="s">
        <v>172</v>
      </c>
      <c r="O1" s="26"/>
      <c r="P1" s="25" t="s">
        <v>173</v>
      </c>
      <c r="Q1" s="26"/>
      <c r="R1" s="26"/>
      <c r="S1" s="27"/>
    </row>
    <row r="2" spans="1:19" ht="21.9" customHeight="1" x14ac:dyDescent="0.3">
      <c r="A2" s="29"/>
      <c r="B2" s="30"/>
      <c r="C2" s="31"/>
      <c r="D2" s="31"/>
      <c r="E2" s="31"/>
      <c r="F2" s="32"/>
      <c r="G2" s="33"/>
      <c r="H2" s="34" t="s">
        <v>174</v>
      </c>
      <c r="I2" s="35"/>
      <c r="J2" s="36"/>
      <c r="K2" s="36"/>
      <c r="L2" s="36"/>
      <c r="M2" s="36"/>
      <c r="N2" s="37"/>
      <c r="O2" s="38"/>
      <c r="P2" s="39"/>
      <c r="Q2" s="360"/>
      <c r="R2" s="361"/>
      <c r="S2" s="40"/>
    </row>
    <row r="3" spans="1:19" ht="21.9" customHeight="1" x14ac:dyDescent="0.3">
      <c r="A3" s="29"/>
      <c r="B3" s="31"/>
      <c r="C3" s="31"/>
      <c r="D3" s="31"/>
      <c r="E3" s="31"/>
      <c r="F3" s="31"/>
      <c r="G3" s="33"/>
      <c r="H3" s="35" t="s">
        <v>175</v>
      </c>
      <c r="I3" s="35"/>
      <c r="J3" s="36"/>
      <c r="K3" s="36"/>
      <c r="L3" s="36"/>
      <c r="M3" s="36"/>
      <c r="N3" s="39"/>
      <c r="O3" s="38"/>
      <c r="P3" s="39"/>
      <c r="Q3" s="38" t="s">
        <v>0</v>
      </c>
      <c r="R3" s="38"/>
      <c r="S3" s="40"/>
    </row>
    <row r="4" spans="1:19" ht="21.9" customHeight="1" x14ac:dyDescent="0.3">
      <c r="A4" s="29"/>
      <c r="B4" s="38"/>
      <c r="C4" s="38"/>
      <c r="D4" s="38"/>
      <c r="E4" s="38"/>
      <c r="F4" s="38"/>
      <c r="G4" s="33"/>
      <c r="H4" s="35" t="s">
        <v>176</v>
      </c>
      <c r="I4" s="35"/>
      <c r="J4" s="36"/>
      <c r="K4" s="36"/>
      <c r="L4" s="36"/>
      <c r="M4" s="36"/>
      <c r="N4" s="41" t="s">
        <v>177</v>
      </c>
      <c r="O4" s="42"/>
      <c r="P4" s="41" t="s">
        <v>178</v>
      </c>
      <c r="Q4" s="42"/>
      <c r="R4" s="42"/>
      <c r="S4" s="43"/>
    </row>
    <row r="5" spans="1:19" ht="21.9" customHeight="1" x14ac:dyDescent="0.3">
      <c r="A5" s="44"/>
      <c r="B5" s="42" t="s">
        <v>179</v>
      </c>
      <c r="C5" s="42"/>
      <c r="D5" s="42"/>
      <c r="E5" s="42"/>
      <c r="F5" s="42"/>
      <c r="G5" s="45"/>
      <c r="H5" s="35" t="s">
        <v>180</v>
      </c>
      <c r="I5" s="35"/>
      <c r="J5" s="36"/>
      <c r="K5" s="36"/>
      <c r="L5" s="36"/>
      <c r="M5" s="36"/>
      <c r="N5" s="362" t="s">
        <v>181</v>
      </c>
      <c r="O5" s="363"/>
      <c r="P5" s="365" t="s">
        <v>182</v>
      </c>
      <c r="Q5" s="366"/>
      <c r="R5" s="366"/>
      <c r="S5" s="367"/>
    </row>
    <row r="6" spans="1:19" ht="33" customHeight="1" x14ac:dyDescent="0.25">
      <c r="A6" s="46"/>
      <c r="B6" s="369" t="s">
        <v>183</v>
      </c>
      <c r="C6" s="370"/>
      <c r="D6" s="370"/>
      <c r="E6" s="370"/>
      <c r="F6" s="370"/>
      <c r="G6" s="47"/>
      <c r="H6" s="48" t="s">
        <v>184</v>
      </c>
      <c r="I6" s="48"/>
      <c r="J6" s="49"/>
      <c r="K6" s="49"/>
      <c r="L6" s="49"/>
      <c r="M6" s="50"/>
      <c r="N6" s="364"/>
      <c r="O6" s="363"/>
      <c r="P6" s="368"/>
      <c r="Q6" s="366"/>
      <c r="R6" s="366"/>
      <c r="S6" s="367"/>
    </row>
    <row r="7" spans="1:19" ht="3.9" customHeight="1" x14ac:dyDescent="0.25">
      <c r="A7" s="51"/>
      <c r="B7" s="52"/>
      <c r="C7" s="52"/>
      <c r="D7" s="52"/>
      <c r="E7" s="52"/>
      <c r="F7" s="52"/>
      <c r="G7" s="53"/>
      <c r="H7" s="54"/>
      <c r="I7" s="54"/>
      <c r="J7" s="54"/>
      <c r="K7" s="54"/>
      <c r="L7" s="54"/>
      <c r="M7" s="55"/>
      <c r="N7" s="56"/>
      <c r="O7" s="52"/>
      <c r="P7" s="56"/>
      <c r="Q7" s="52"/>
      <c r="R7" s="52"/>
      <c r="S7" s="57"/>
    </row>
    <row r="8" spans="1:19" ht="21.9" customHeight="1" x14ac:dyDescent="0.3">
      <c r="A8" s="46"/>
      <c r="B8" s="38" t="s">
        <v>185</v>
      </c>
      <c r="C8" s="38"/>
      <c r="D8" s="371" t="s">
        <v>0</v>
      </c>
      <c r="E8" s="372"/>
      <c r="F8" s="371"/>
      <c r="G8" s="371"/>
      <c r="H8" s="371"/>
      <c r="I8" s="371"/>
      <c r="J8" s="371"/>
      <c r="K8" s="371"/>
      <c r="L8" s="371"/>
      <c r="M8" s="371"/>
      <c r="N8" s="38"/>
      <c r="O8" s="38"/>
      <c r="P8" s="39" t="s">
        <v>186</v>
      </c>
      <c r="Q8" s="38"/>
      <c r="R8" s="38"/>
      <c r="S8" s="40"/>
    </row>
    <row r="9" spans="1:19" ht="21.9" customHeight="1" x14ac:dyDescent="0.3">
      <c r="A9" s="46"/>
      <c r="B9" s="360"/>
      <c r="C9" s="360"/>
      <c r="D9" s="360"/>
      <c r="E9" s="360"/>
      <c r="F9" s="360"/>
      <c r="G9" s="360"/>
      <c r="H9" s="360"/>
      <c r="I9" s="360"/>
      <c r="J9" s="360"/>
      <c r="K9" s="360"/>
      <c r="L9" s="360"/>
      <c r="M9" s="361"/>
      <c r="N9" s="58"/>
      <c r="O9" s="38"/>
      <c r="P9" s="39"/>
      <c r="Q9" s="373" t="s">
        <v>0</v>
      </c>
      <c r="R9" s="361"/>
      <c r="S9" s="374"/>
    </row>
    <row r="10" spans="1:19" ht="21.9" customHeight="1" x14ac:dyDescent="0.3">
      <c r="A10" s="46"/>
      <c r="B10" s="360"/>
      <c r="C10" s="360"/>
      <c r="D10" s="360"/>
      <c r="E10" s="360"/>
      <c r="F10" s="360"/>
      <c r="G10" s="360"/>
      <c r="H10" s="360"/>
      <c r="I10" s="360"/>
      <c r="J10" s="360"/>
      <c r="K10" s="360"/>
      <c r="L10" s="360"/>
      <c r="M10" s="361"/>
      <c r="N10" s="59"/>
      <c r="O10" s="38"/>
      <c r="P10" s="39"/>
      <c r="Q10" s="38"/>
      <c r="R10" s="38"/>
      <c r="S10" s="40"/>
    </row>
    <row r="11" spans="1:19" ht="21.9" customHeight="1" x14ac:dyDescent="0.3">
      <c r="A11" s="46"/>
      <c r="B11" s="360"/>
      <c r="C11" s="360"/>
      <c r="D11" s="360"/>
      <c r="E11" s="360"/>
      <c r="F11" s="360"/>
      <c r="G11" s="360"/>
      <c r="H11" s="360"/>
      <c r="I11" s="360"/>
      <c r="J11" s="360"/>
      <c r="K11" s="360"/>
      <c r="L11" s="360"/>
      <c r="M11" s="361"/>
      <c r="N11" s="60" t="s">
        <v>187</v>
      </c>
      <c r="O11" s="38"/>
      <c r="P11" s="41" t="s">
        <v>188</v>
      </c>
      <c r="Q11" s="42"/>
      <c r="R11" s="42"/>
      <c r="S11" s="43" t="s">
        <v>0</v>
      </c>
    </row>
    <row r="12" spans="1:19" ht="21.9" customHeight="1" x14ac:dyDescent="0.3">
      <c r="A12" s="46"/>
      <c r="B12" s="360"/>
      <c r="C12" s="360"/>
      <c r="D12" s="360"/>
      <c r="E12" s="360"/>
      <c r="F12" s="360"/>
      <c r="G12" s="360"/>
      <c r="H12" s="360"/>
      <c r="I12" s="360"/>
      <c r="J12" s="360"/>
      <c r="K12" s="360"/>
      <c r="L12" s="360"/>
      <c r="M12" s="361"/>
      <c r="N12" s="61" t="str">
        <f>IF(A203&lt;&gt;1,"SELECT ONLY ONE PAYMENT TYPE","")</f>
        <v>SELECT ONLY ONE PAYMENT TYPE</v>
      </c>
      <c r="O12" s="38"/>
      <c r="P12" s="39"/>
      <c r="Q12" s="360"/>
      <c r="R12" s="361"/>
      <c r="S12" s="374"/>
    </row>
    <row r="13" spans="1:19" ht="21.9" customHeight="1" thickBot="1" x14ac:dyDescent="0.35">
      <c r="A13" s="46"/>
      <c r="B13" s="375"/>
      <c r="C13" s="375"/>
      <c r="D13" s="375"/>
      <c r="E13" s="375"/>
      <c r="F13" s="375"/>
      <c r="G13" s="375"/>
      <c r="H13" s="375"/>
      <c r="I13" s="375"/>
      <c r="J13" s="375"/>
      <c r="K13" s="375"/>
      <c r="L13" s="375"/>
      <c r="M13" s="376"/>
      <c r="N13" s="38"/>
      <c r="O13" s="38"/>
      <c r="P13" s="39"/>
      <c r="Q13" s="38"/>
      <c r="R13" s="38"/>
      <c r="S13" s="40"/>
    </row>
    <row r="14" spans="1:19" ht="21.9" customHeight="1" thickTop="1" thickBot="1" x14ac:dyDescent="0.3">
      <c r="A14" s="62" t="s">
        <v>189</v>
      </c>
      <c r="B14" s="63"/>
      <c r="C14" s="63"/>
      <c r="D14" s="63"/>
      <c r="E14" s="63"/>
      <c r="F14" s="64"/>
      <c r="G14" s="65"/>
      <c r="H14" s="66" t="s">
        <v>190</v>
      </c>
      <c r="I14" s="67"/>
      <c r="J14" s="67"/>
      <c r="K14" s="67"/>
      <c r="L14" s="67"/>
      <c r="M14" s="68"/>
      <c r="N14" s="62" t="s">
        <v>191</v>
      </c>
      <c r="O14" s="63"/>
      <c r="P14" s="63"/>
      <c r="Q14" s="63"/>
      <c r="R14" s="63"/>
      <c r="S14" s="64"/>
    </row>
    <row r="15" spans="1:19" ht="42.9" customHeight="1" thickTop="1" thickBot="1" x14ac:dyDescent="0.3">
      <c r="A15" s="69" t="s">
        <v>192</v>
      </c>
      <c r="B15" s="70"/>
      <c r="C15" s="71" t="s">
        <v>193</v>
      </c>
      <c r="D15" s="71" t="s">
        <v>194</v>
      </c>
      <c r="E15" s="71" t="s">
        <v>195</v>
      </c>
      <c r="F15" s="72" t="s">
        <v>196</v>
      </c>
      <c r="G15" s="73"/>
      <c r="H15" s="74" t="s">
        <v>197</v>
      </c>
      <c r="I15" s="75"/>
      <c r="J15" s="75" t="s">
        <v>198</v>
      </c>
      <c r="K15" s="75" t="s">
        <v>199</v>
      </c>
      <c r="L15" s="76" t="s">
        <v>196</v>
      </c>
      <c r="M15" s="73"/>
      <c r="N15" s="77" t="s">
        <v>200</v>
      </c>
      <c r="O15" s="78" t="s">
        <v>201</v>
      </c>
      <c r="P15" s="71" t="s">
        <v>193</v>
      </c>
      <c r="Q15" s="71" t="s">
        <v>194</v>
      </c>
      <c r="R15" s="71" t="s">
        <v>195</v>
      </c>
      <c r="S15" s="72" t="s">
        <v>202</v>
      </c>
    </row>
    <row r="16" spans="1:19" ht="27" customHeight="1" thickTop="1" x14ac:dyDescent="0.3">
      <c r="A16" s="357" t="e">
        <f>IFERROR(IF(SEARCH(“*Yes*”,'Crew Report'!I26,1),”Yes”),”No”)</f>
        <v>#NAME?</v>
      </c>
      <c r="B16" s="358"/>
      <c r="C16" s="79"/>
      <c r="D16" s="80"/>
      <c r="E16" s="80"/>
      <c r="F16" s="81">
        <f t="shared" ref="F16:F24" si="0">ROUND((+D16*E16),2)</f>
        <v>0</v>
      </c>
      <c r="G16" s="82"/>
      <c r="H16" s="359"/>
      <c r="I16" s="358"/>
      <c r="J16" s="83"/>
      <c r="K16" s="83"/>
      <c r="L16" s="84">
        <f t="shared" ref="L16:L31" si="1">ROUND((J16*K16),2)</f>
        <v>0</v>
      </c>
      <c r="M16" s="82"/>
      <c r="N16" s="85"/>
      <c r="O16" s="86"/>
      <c r="P16" s="87"/>
      <c r="Q16" s="88"/>
      <c r="R16" s="88"/>
      <c r="S16" s="84">
        <f t="shared" ref="S16:S35" si="2">ROUND((Q16*R16),2)</f>
        <v>0</v>
      </c>
    </row>
    <row r="17" spans="1:19" ht="27" customHeight="1" x14ac:dyDescent="0.3">
      <c r="A17" s="354"/>
      <c r="B17" s="351"/>
      <c r="C17" s="79"/>
      <c r="D17" s="80"/>
      <c r="E17" s="80"/>
      <c r="F17" s="81">
        <f t="shared" si="0"/>
        <v>0</v>
      </c>
      <c r="G17" s="82"/>
      <c r="H17" s="350"/>
      <c r="I17" s="351"/>
      <c r="J17" s="83"/>
      <c r="K17" s="83"/>
      <c r="L17" s="84">
        <f t="shared" si="1"/>
        <v>0</v>
      </c>
      <c r="M17" s="82"/>
      <c r="N17" s="89"/>
      <c r="O17" s="90"/>
      <c r="P17" s="91"/>
      <c r="Q17" s="83"/>
      <c r="R17" s="83"/>
      <c r="S17" s="84">
        <f t="shared" si="2"/>
        <v>0</v>
      </c>
    </row>
    <row r="18" spans="1:19" ht="27" customHeight="1" x14ac:dyDescent="0.3">
      <c r="A18" s="354"/>
      <c r="B18" s="351"/>
      <c r="C18" s="79"/>
      <c r="D18" s="80"/>
      <c r="E18" s="80"/>
      <c r="F18" s="81">
        <f t="shared" si="0"/>
        <v>0</v>
      </c>
      <c r="G18" s="82"/>
      <c r="H18" s="350"/>
      <c r="I18" s="351"/>
      <c r="J18" s="83"/>
      <c r="K18" s="83"/>
      <c r="L18" s="84">
        <f t="shared" si="1"/>
        <v>0</v>
      </c>
      <c r="M18" s="82"/>
      <c r="N18" s="89"/>
      <c r="O18" s="90"/>
      <c r="P18" s="91"/>
      <c r="Q18" s="83"/>
      <c r="R18" s="83"/>
      <c r="S18" s="84">
        <f t="shared" si="2"/>
        <v>0</v>
      </c>
    </row>
    <row r="19" spans="1:19" ht="27" customHeight="1" x14ac:dyDescent="0.3">
      <c r="A19" s="354"/>
      <c r="B19" s="351"/>
      <c r="C19" s="79"/>
      <c r="D19" s="80"/>
      <c r="E19" s="80"/>
      <c r="F19" s="81">
        <f t="shared" si="0"/>
        <v>0</v>
      </c>
      <c r="G19" s="82"/>
      <c r="H19" s="350"/>
      <c r="I19" s="351"/>
      <c r="J19" s="83"/>
      <c r="K19" s="83"/>
      <c r="L19" s="84">
        <f t="shared" si="1"/>
        <v>0</v>
      </c>
      <c r="M19" s="82"/>
      <c r="N19" s="89"/>
      <c r="O19" s="90"/>
      <c r="P19" s="91"/>
      <c r="Q19" s="83"/>
      <c r="R19" s="83"/>
      <c r="S19" s="84">
        <f t="shared" si="2"/>
        <v>0</v>
      </c>
    </row>
    <row r="20" spans="1:19" ht="27" customHeight="1" x14ac:dyDescent="0.3">
      <c r="A20" s="354"/>
      <c r="B20" s="351"/>
      <c r="C20" s="79"/>
      <c r="D20" s="80"/>
      <c r="E20" s="80"/>
      <c r="F20" s="81">
        <f t="shared" si="0"/>
        <v>0</v>
      </c>
      <c r="G20" s="82"/>
      <c r="H20" s="350"/>
      <c r="I20" s="351"/>
      <c r="J20" s="83"/>
      <c r="K20" s="83"/>
      <c r="L20" s="84">
        <f t="shared" si="1"/>
        <v>0</v>
      </c>
      <c r="M20" s="82"/>
      <c r="N20" s="89"/>
      <c r="O20" s="90"/>
      <c r="P20" s="91"/>
      <c r="Q20" s="83"/>
      <c r="R20" s="83"/>
      <c r="S20" s="84">
        <f t="shared" si="2"/>
        <v>0</v>
      </c>
    </row>
    <row r="21" spans="1:19" ht="27" customHeight="1" x14ac:dyDescent="0.3">
      <c r="A21" s="354"/>
      <c r="B21" s="351"/>
      <c r="C21" s="79"/>
      <c r="D21" s="80"/>
      <c r="E21" s="80"/>
      <c r="F21" s="81">
        <f t="shared" si="0"/>
        <v>0</v>
      </c>
      <c r="G21" s="82"/>
      <c r="H21" s="350"/>
      <c r="I21" s="351"/>
      <c r="J21" s="83"/>
      <c r="K21" s="83"/>
      <c r="L21" s="84">
        <f t="shared" si="1"/>
        <v>0</v>
      </c>
      <c r="M21" s="82"/>
      <c r="N21" s="89"/>
      <c r="O21" s="90"/>
      <c r="P21" s="91"/>
      <c r="Q21" s="83"/>
      <c r="R21" s="83"/>
      <c r="S21" s="84">
        <f t="shared" si="2"/>
        <v>0</v>
      </c>
    </row>
    <row r="22" spans="1:19" ht="27" customHeight="1" x14ac:dyDescent="0.3">
      <c r="A22" s="354"/>
      <c r="B22" s="351"/>
      <c r="C22" s="79"/>
      <c r="D22" s="80"/>
      <c r="E22" s="80"/>
      <c r="F22" s="81">
        <f t="shared" si="0"/>
        <v>0</v>
      </c>
      <c r="G22" s="82"/>
      <c r="H22" s="350"/>
      <c r="I22" s="351"/>
      <c r="J22" s="83"/>
      <c r="K22" s="83"/>
      <c r="L22" s="84">
        <f t="shared" si="1"/>
        <v>0</v>
      </c>
      <c r="M22" s="82"/>
      <c r="N22" s="89"/>
      <c r="O22" s="90"/>
      <c r="P22" s="91"/>
      <c r="Q22" s="83"/>
      <c r="R22" s="83"/>
      <c r="S22" s="84">
        <f t="shared" si="2"/>
        <v>0</v>
      </c>
    </row>
    <row r="23" spans="1:19" ht="27" customHeight="1" x14ac:dyDescent="0.3">
      <c r="A23" s="354"/>
      <c r="B23" s="351"/>
      <c r="C23" s="79"/>
      <c r="D23" s="80"/>
      <c r="E23" s="80"/>
      <c r="F23" s="81">
        <f t="shared" si="0"/>
        <v>0</v>
      </c>
      <c r="G23" s="82"/>
      <c r="H23" s="350"/>
      <c r="I23" s="351"/>
      <c r="J23" s="83"/>
      <c r="K23" s="83"/>
      <c r="L23" s="84">
        <f t="shared" si="1"/>
        <v>0</v>
      </c>
      <c r="M23" s="82"/>
      <c r="N23" s="89"/>
      <c r="O23" s="90"/>
      <c r="P23" s="91"/>
      <c r="Q23" s="83"/>
      <c r="R23" s="83"/>
      <c r="S23" s="84">
        <f t="shared" si="2"/>
        <v>0</v>
      </c>
    </row>
    <row r="24" spans="1:19" ht="27" customHeight="1" x14ac:dyDescent="0.3">
      <c r="A24" s="354"/>
      <c r="B24" s="351"/>
      <c r="C24" s="79"/>
      <c r="D24" s="80"/>
      <c r="E24" s="80"/>
      <c r="F24" s="81">
        <f t="shared" si="0"/>
        <v>0</v>
      </c>
      <c r="G24" s="82"/>
      <c r="H24" s="350"/>
      <c r="I24" s="351"/>
      <c r="J24" s="83"/>
      <c r="K24" s="83"/>
      <c r="L24" s="84">
        <f t="shared" si="1"/>
        <v>0</v>
      </c>
      <c r="M24" s="82"/>
      <c r="N24" s="89"/>
      <c r="O24" s="90"/>
      <c r="P24" s="91"/>
      <c r="Q24" s="83"/>
      <c r="R24" s="83"/>
      <c r="S24" s="84">
        <f t="shared" si="2"/>
        <v>0</v>
      </c>
    </row>
    <row r="25" spans="1:19" ht="27" customHeight="1" x14ac:dyDescent="0.3">
      <c r="A25" s="354"/>
      <c r="B25" s="351"/>
      <c r="C25" s="79"/>
      <c r="D25" s="80"/>
      <c r="E25" s="80"/>
      <c r="F25" s="81">
        <f>ROUND((+D25*E25),2)</f>
        <v>0</v>
      </c>
      <c r="G25" s="82"/>
      <c r="H25" s="350"/>
      <c r="I25" s="351"/>
      <c r="J25" s="83"/>
      <c r="K25" s="83"/>
      <c r="L25" s="84">
        <f t="shared" si="1"/>
        <v>0</v>
      </c>
      <c r="M25" s="82"/>
      <c r="N25" s="89"/>
      <c r="O25" s="90"/>
      <c r="P25" s="91"/>
      <c r="Q25" s="83"/>
      <c r="R25" s="83"/>
      <c r="S25" s="84">
        <f t="shared" si="2"/>
        <v>0</v>
      </c>
    </row>
    <row r="26" spans="1:19" ht="27" customHeight="1" x14ac:dyDescent="0.3">
      <c r="A26" s="354"/>
      <c r="B26" s="351"/>
      <c r="C26" s="79"/>
      <c r="D26" s="80"/>
      <c r="E26" s="80"/>
      <c r="F26" s="81">
        <f>ROUND((+D26*E26),2)</f>
        <v>0</v>
      </c>
      <c r="G26" s="82"/>
      <c r="H26" s="350"/>
      <c r="I26" s="351"/>
      <c r="J26" s="83"/>
      <c r="K26" s="83"/>
      <c r="L26" s="84">
        <f t="shared" si="1"/>
        <v>0</v>
      </c>
      <c r="M26" s="82"/>
      <c r="N26" s="89"/>
      <c r="O26" s="90"/>
      <c r="P26" s="91"/>
      <c r="Q26" s="83"/>
      <c r="R26" s="83"/>
      <c r="S26" s="84">
        <f t="shared" si="2"/>
        <v>0</v>
      </c>
    </row>
    <row r="27" spans="1:19" ht="27" customHeight="1" thickBot="1" x14ac:dyDescent="0.35">
      <c r="A27" s="355"/>
      <c r="B27" s="356"/>
      <c r="C27" s="92"/>
      <c r="D27" s="93"/>
      <c r="E27" s="93"/>
      <c r="F27" s="81">
        <f>ROUND((+D27*E27),2)</f>
        <v>0</v>
      </c>
      <c r="G27" s="82"/>
      <c r="H27" s="350"/>
      <c r="I27" s="351"/>
      <c r="J27" s="83"/>
      <c r="K27" s="83"/>
      <c r="L27" s="84">
        <f t="shared" si="1"/>
        <v>0</v>
      </c>
      <c r="M27" s="82"/>
      <c r="N27" s="89"/>
      <c r="O27" s="90"/>
      <c r="P27" s="91"/>
      <c r="Q27" s="83"/>
      <c r="R27" s="83"/>
      <c r="S27" s="84">
        <f t="shared" si="2"/>
        <v>0</v>
      </c>
    </row>
    <row r="28" spans="1:19" ht="27" customHeight="1" thickTop="1" x14ac:dyDescent="0.3">
      <c r="A28" s="94">
        <v>1</v>
      </c>
      <c r="B28" s="45" t="s">
        <v>203</v>
      </c>
      <c r="C28" s="79"/>
      <c r="D28" s="95"/>
      <c r="E28" s="80"/>
      <c r="F28" s="96">
        <f>SUM(F16:F27)</f>
        <v>0</v>
      </c>
      <c r="G28" s="82"/>
      <c r="H28" s="350"/>
      <c r="I28" s="351"/>
      <c r="J28" s="83"/>
      <c r="K28" s="83"/>
      <c r="L28" s="84">
        <f t="shared" si="1"/>
        <v>0</v>
      </c>
      <c r="M28" s="82"/>
      <c r="N28" s="89"/>
      <c r="O28" s="90"/>
      <c r="P28" s="91"/>
      <c r="Q28" s="83"/>
      <c r="R28" s="83"/>
      <c r="S28" s="84">
        <f t="shared" si="2"/>
        <v>0</v>
      </c>
    </row>
    <row r="29" spans="1:19" ht="27" customHeight="1" x14ac:dyDescent="0.3">
      <c r="A29" s="94">
        <v>2</v>
      </c>
      <c r="B29" s="97" t="s">
        <v>204</v>
      </c>
      <c r="C29" s="79"/>
      <c r="D29" s="80"/>
      <c r="E29" s="80"/>
      <c r="F29" s="81">
        <f>ROUND((+D29*E29),2)</f>
        <v>0</v>
      </c>
      <c r="G29" s="82"/>
      <c r="H29" s="350"/>
      <c r="I29" s="351"/>
      <c r="J29" s="83"/>
      <c r="K29" s="83"/>
      <c r="L29" s="84">
        <f t="shared" si="1"/>
        <v>0</v>
      </c>
      <c r="M29" s="82"/>
      <c r="N29" s="89"/>
      <c r="O29" s="90"/>
      <c r="P29" s="91"/>
      <c r="Q29" s="83"/>
      <c r="R29" s="83"/>
      <c r="S29" s="84">
        <f t="shared" si="2"/>
        <v>0</v>
      </c>
    </row>
    <row r="30" spans="1:19" ht="27" customHeight="1" x14ac:dyDescent="0.3">
      <c r="A30" s="98"/>
      <c r="B30" s="99" t="s">
        <v>205</v>
      </c>
      <c r="C30" s="100"/>
      <c r="D30" s="83"/>
      <c r="E30" s="83"/>
      <c r="F30" s="81">
        <f>ROUND((+D30*E30),2)</f>
        <v>0</v>
      </c>
      <c r="G30" s="82"/>
      <c r="H30" s="350"/>
      <c r="I30" s="351"/>
      <c r="J30" s="83"/>
      <c r="K30" s="83"/>
      <c r="L30" s="84">
        <f t="shared" si="1"/>
        <v>0</v>
      </c>
      <c r="M30" s="82"/>
      <c r="N30" s="89"/>
      <c r="O30" s="90"/>
      <c r="P30" s="91"/>
      <c r="Q30" s="83"/>
      <c r="R30" s="83"/>
      <c r="S30" s="84">
        <f t="shared" si="2"/>
        <v>0</v>
      </c>
    </row>
    <row r="31" spans="1:19" ht="27" customHeight="1" thickBot="1" x14ac:dyDescent="0.35">
      <c r="A31" s="98"/>
      <c r="B31" s="99" t="s">
        <v>206</v>
      </c>
      <c r="C31" s="100"/>
      <c r="D31" s="83"/>
      <c r="E31" s="83"/>
      <c r="F31" s="81">
        <f>ROUND((+D31*E31),2)</f>
        <v>0</v>
      </c>
      <c r="G31" s="82"/>
      <c r="H31" s="352"/>
      <c r="I31" s="353"/>
      <c r="J31" s="93"/>
      <c r="K31" s="92"/>
      <c r="L31" s="84">
        <f t="shared" si="1"/>
        <v>0</v>
      </c>
      <c r="M31" s="82"/>
      <c r="N31" s="89"/>
      <c r="O31" s="90"/>
      <c r="P31" s="91"/>
      <c r="Q31" s="83"/>
      <c r="R31" s="83"/>
      <c r="S31" s="84">
        <f t="shared" si="2"/>
        <v>0</v>
      </c>
    </row>
    <row r="32" spans="1:19" ht="27" customHeight="1" thickTop="1" x14ac:dyDescent="0.3">
      <c r="A32" s="98"/>
      <c r="B32" s="99" t="s">
        <v>207</v>
      </c>
      <c r="C32" s="100"/>
      <c r="D32" s="83"/>
      <c r="E32" s="83"/>
      <c r="F32" s="81">
        <f>ROUND((+D32*E32),2)</f>
        <v>0</v>
      </c>
      <c r="G32" s="82"/>
      <c r="H32" s="101" t="s">
        <v>33</v>
      </c>
      <c r="I32" s="42"/>
      <c r="J32" s="26"/>
      <c r="K32" s="102"/>
      <c r="L32" s="103">
        <f>SUM(L16:L31)</f>
        <v>0</v>
      </c>
      <c r="M32" s="82"/>
      <c r="N32" s="89"/>
      <c r="O32" s="90"/>
      <c r="P32" s="91"/>
      <c r="Q32" s="83"/>
      <c r="R32" s="83"/>
      <c r="S32" s="84">
        <f t="shared" si="2"/>
        <v>0</v>
      </c>
    </row>
    <row r="33" spans="1:19" ht="27" customHeight="1" thickBot="1" x14ac:dyDescent="0.35">
      <c r="A33" s="104"/>
      <c r="B33" s="105"/>
      <c r="C33" s="100"/>
      <c r="D33" s="83"/>
      <c r="E33" s="83"/>
      <c r="F33" s="81">
        <f>ROUND((+D33*E33),2)</f>
        <v>0</v>
      </c>
      <c r="G33" s="82"/>
      <c r="H33" s="106" t="s">
        <v>208</v>
      </c>
      <c r="I33" s="107"/>
      <c r="J33" s="108"/>
      <c r="K33" s="109"/>
      <c r="L33" s="110">
        <v>0</v>
      </c>
      <c r="M33" s="82"/>
      <c r="N33" s="89"/>
      <c r="O33" s="90"/>
      <c r="P33" s="91"/>
      <c r="Q33" s="83"/>
      <c r="R33" s="83"/>
      <c r="S33" s="111">
        <f t="shared" si="2"/>
        <v>0</v>
      </c>
    </row>
    <row r="34" spans="1:19" ht="27" customHeight="1" thickTop="1" x14ac:dyDescent="0.3">
      <c r="A34" s="94">
        <v>3</v>
      </c>
      <c r="B34" s="112" t="s">
        <v>209</v>
      </c>
      <c r="C34" s="112"/>
      <c r="D34" s="113"/>
      <c r="E34" s="79"/>
      <c r="F34" s="84">
        <f>ROUND((+E34*F28),2)</f>
        <v>0</v>
      </c>
      <c r="G34" s="82"/>
      <c r="H34" s="114" t="s">
        <v>33</v>
      </c>
      <c r="I34" s="42"/>
      <c r="J34" s="42"/>
      <c r="K34" s="45"/>
      <c r="L34" s="115">
        <f>L32-L33</f>
        <v>0</v>
      </c>
      <c r="M34" s="82"/>
      <c r="N34" s="89"/>
      <c r="O34" s="90"/>
      <c r="P34" s="91"/>
      <c r="Q34" s="83"/>
      <c r="R34" s="83"/>
      <c r="S34" s="111">
        <f t="shared" si="2"/>
        <v>0</v>
      </c>
    </row>
    <row r="35" spans="1:19" ht="27" customHeight="1" thickBot="1" x14ac:dyDescent="0.35">
      <c r="A35" s="116">
        <v>4</v>
      </c>
      <c r="B35" s="117" t="s">
        <v>210</v>
      </c>
      <c r="C35" s="107"/>
      <c r="D35" s="107"/>
      <c r="E35" s="118"/>
      <c r="F35" s="119">
        <f>ROUND(0.2*(SUM(F28:F34)),2)</f>
        <v>0</v>
      </c>
      <c r="G35" s="82"/>
      <c r="H35" s="106" t="s">
        <v>211</v>
      </c>
      <c r="I35" s="108">
        <v>15</v>
      </c>
      <c r="J35" s="107" t="s">
        <v>212</v>
      </c>
      <c r="K35" s="120"/>
      <c r="L35" s="119">
        <f>L34*(I35/100)</f>
        <v>0</v>
      </c>
      <c r="M35" s="82"/>
      <c r="N35" s="121"/>
      <c r="O35" s="122"/>
      <c r="P35" s="123"/>
      <c r="Q35" s="93"/>
      <c r="R35" s="93"/>
      <c r="S35" s="111">
        <f t="shared" si="2"/>
        <v>0</v>
      </c>
    </row>
    <row r="36" spans="1:19" ht="27" customHeight="1" thickTop="1" thickBot="1" x14ac:dyDescent="0.35">
      <c r="A36" s="116">
        <v>5</v>
      </c>
      <c r="B36" s="107" t="s">
        <v>213</v>
      </c>
      <c r="C36" s="107"/>
      <c r="D36" s="107"/>
      <c r="E36" s="118"/>
      <c r="F36" s="124">
        <f>SUM(F28:F35)</f>
        <v>0</v>
      </c>
      <c r="G36" s="82"/>
      <c r="H36" s="125" t="s">
        <v>33</v>
      </c>
      <c r="I36" s="126"/>
      <c r="J36" s="126"/>
      <c r="K36" s="127"/>
      <c r="L36" s="124">
        <f>L34+L35</f>
        <v>0</v>
      </c>
      <c r="M36" s="82"/>
      <c r="N36" s="106" t="s">
        <v>33</v>
      </c>
      <c r="O36" s="107"/>
      <c r="P36" s="128"/>
      <c r="Q36" s="129"/>
      <c r="R36" s="118"/>
      <c r="S36" s="130">
        <f>SUM(S16:S35)</f>
        <v>0</v>
      </c>
    </row>
    <row r="37" spans="1:19" ht="21.9" customHeight="1" thickTop="1" x14ac:dyDescent="0.3">
      <c r="A37" s="131" t="s">
        <v>214</v>
      </c>
      <c r="B37" s="26"/>
      <c r="C37" s="26"/>
      <c r="D37" s="26"/>
      <c r="E37" s="132" t="s">
        <v>8</v>
      </c>
      <c r="F37" s="26"/>
      <c r="G37" s="26"/>
      <c r="H37" s="26"/>
      <c r="I37" s="101" t="s">
        <v>215</v>
      </c>
      <c r="J37" s="26"/>
      <c r="K37" s="26"/>
      <c r="L37" s="26"/>
      <c r="M37" s="26"/>
      <c r="N37" s="132"/>
      <c r="O37" s="26"/>
      <c r="P37" s="101" t="s">
        <v>216</v>
      </c>
      <c r="Q37" s="26"/>
      <c r="R37" s="26"/>
      <c r="S37" s="133"/>
    </row>
    <row r="38" spans="1:19" ht="21.9" customHeight="1" thickBot="1" x14ac:dyDescent="0.35">
      <c r="A38" s="29"/>
      <c r="B38" s="38"/>
      <c r="C38" s="38"/>
      <c r="D38" s="38"/>
      <c r="E38" s="134"/>
      <c r="F38" s="38"/>
      <c r="G38" s="38"/>
      <c r="H38" s="38"/>
      <c r="I38" s="135"/>
      <c r="J38" s="38"/>
      <c r="K38" s="38"/>
      <c r="L38" s="38"/>
      <c r="M38" s="38"/>
      <c r="N38" s="38"/>
      <c r="O38" s="38"/>
      <c r="P38" s="136" t="str">
        <f>IF(TRIM([1]Sheet1!A1)="TRUE", "Progress Total:", "")</f>
        <v>Progress Total:</v>
      </c>
      <c r="Q38" s="38"/>
      <c r="R38" s="38"/>
      <c r="S38" s="137">
        <f>IF(TRIM(A200)="TRUE",90%*(F36+L36+S36),F36+L36+S36)</f>
        <v>0</v>
      </c>
    </row>
    <row r="39" spans="1:19" ht="21.9" customHeight="1" thickTop="1" x14ac:dyDescent="0.3">
      <c r="A39" s="29"/>
      <c r="B39" s="60"/>
      <c r="C39" s="60"/>
      <c r="D39" s="60"/>
      <c r="E39" s="138"/>
      <c r="F39" s="139"/>
      <c r="G39" s="60"/>
      <c r="H39" s="60"/>
      <c r="I39" s="135"/>
      <c r="J39" s="60"/>
      <c r="K39" s="60"/>
      <c r="L39" s="60"/>
      <c r="M39" s="60"/>
      <c r="N39" s="140"/>
      <c r="O39" s="38"/>
      <c r="P39" s="101" t="s">
        <v>217</v>
      </c>
      <c r="Q39" s="26"/>
      <c r="R39" s="26"/>
      <c r="S39" s="141"/>
    </row>
    <row r="40" spans="1:19" ht="21.9" customHeight="1" thickBot="1" x14ac:dyDescent="0.35">
      <c r="A40" s="142"/>
      <c r="B40" s="143"/>
      <c r="C40" s="143" t="s">
        <v>218</v>
      </c>
      <c r="D40" s="143"/>
      <c r="E40" s="144"/>
      <c r="F40" s="143"/>
      <c r="G40" s="143"/>
      <c r="H40" s="143"/>
      <c r="I40" s="145"/>
      <c r="J40" s="143"/>
      <c r="K40" s="143"/>
      <c r="L40" s="143"/>
      <c r="M40" s="143"/>
      <c r="N40" s="143"/>
      <c r="O40" s="117"/>
      <c r="P40" s="145"/>
      <c r="Q40" s="117"/>
      <c r="R40" s="117"/>
      <c r="S40" s="146"/>
    </row>
    <row r="41" spans="1:19" ht="18" thickTop="1" x14ac:dyDescent="0.25">
      <c r="B41" s="148"/>
      <c r="C41" s="149"/>
      <c r="D41" s="149"/>
      <c r="E41" s="149"/>
      <c r="F41" s="149"/>
      <c r="G41" s="149"/>
      <c r="H41" s="149"/>
      <c r="I41" s="149"/>
      <c r="J41" s="149"/>
      <c r="K41" s="149"/>
      <c r="L41" s="149"/>
      <c r="M41" s="149"/>
      <c r="N41" s="149"/>
      <c r="O41" s="149"/>
      <c r="P41" s="149"/>
      <c r="Q41" s="149"/>
      <c r="R41" s="149"/>
      <c r="S41" s="149"/>
    </row>
    <row r="42" spans="1:19" ht="17.399999999999999" x14ac:dyDescent="0.25">
      <c r="A42" s="149" t="s">
        <v>219</v>
      </c>
      <c r="B42" s="150"/>
      <c r="C42" s="150"/>
      <c r="D42" s="150"/>
      <c r="E42" s="150"/>
      <c r="F42" s="150"/>
      <c r="G42" s="150"/>
      <c r="H42" s="150"/>
      <c r="I42" s="150"/>
      <c r="J42" s="150"/>
      <c r="K42" s="150"/>
      <c r="L42" s="150"/>
      <c r="M42" s="150"/>
      <c r="N42" s="150"/>
      <c r="O42" s="150"/>
      <c r="P42" s="150"/>
      <c r="Q42" s="150"/>
      <c r="R42" s="150"/>
      <c r="S42" s="150"/>
    </row>
    <row r="44" spans="1:19" x14ac:dyDescent="0.25">
      <c r="E44" s="151"/>
    </row>
    <row r="45" spans="1:19" x14ac:dyDescent="0.25">
      <c r="E45" s="151"/>
    </row>
    <row r="46" spans="1:19" x14ac:dyDescent="0.25">
      <c r="E46" s="151"/>
    </row>
    <row r="47" spans="1:19" x14ac:dyDescent="0.25">
      <c r="E47" s="151"/>
    </row>
    <row r="48" spans="1:19" x14ac:dyDescent="0.25">
      <c r="E48" s="151"/>
    </row>
    <row r="49" spans="5:5" x14ac:dyDescent="0.25">
      <c r="E49" s="151"/>
    </row>
    <row r="200" spans="1:7" x14ac:dyDescent="0.25">
      <c r="A200" s="152" t="b">
        <v>0</v>
      </c>
      <c r="B200" s="153" t="b">
        <v>0</v>
      </c>
      <c r="C200" s="153" t="b">
        <v>0</v>
      </c>
    </row>
    <row r="201" spans="1:7" x14ac:dyDescent="0.25">
      <c r="A201" s="152"/>
      <c r="B201" s="153"/>
      <c r="C201" s="153"/>
    </row>
    <row r="202" spans="1:7" x14ac:dyDescent="0.25">
      <c r="A202" s="152"/>
      <c r="B202" s="153"/>
      <c r="C202" s="153"/>
      <c r="G202" s="28">
        <f>+A200+B200+C200</f>
        <v>0</v>
      </c>
    </row>
    <row r="203" spans="1:7" x14ac:dyDescent="0.25">
      <c r="A203" s="152">
        <f>+A200+B200+C200</f>
        <v>0</v>
      </c>
      <c r="B203" s="153"/>
      <c r="C203" s="153"/>
    </row>
  </sheetData>
  <sheetProtection selectLockedCells="1"/>
  <mergeCells count="40">
    <mergeCell ref="A16:B16"/>
    <mergeCell ref="H16:I16"/>
    <mergeCell ref="Q2:R2"/>
    <mergeCell ref="N5:O6"/>
    <mergeCell ref="P5:S6"/>
    <mergeCell ref="B6:F6"/>
    <mergeCell ref="D8:M8"/>
    <mergeCell ref="B9:M9"/>
    <mergeCell ref="Q9:S9"/>
    <mergeCell ref="B10:M10"/>
    <mergeCell ref="B11:M11"/>
    <mergeCell ref="B12:M12"/>
    <mergeCell ref="Q12:S12"/>
    <mergeCell ref="B13:M13"/>
    <mergeCell ref="A17:B17"/>
    <mergeCell ref="H17:I17"/>
    <mergeCell ref="A18:B18"/>
    <mergeCell ref="H18:I18"/>
    <mergeCell ref="A19:B19"/>
    <mergeCell ref="H19:I19"/>
    <mergeCell ref="A20:B20"/>
    <mergeCell ref="H20:I20"/>
    <mergeCell ref="A21:B21"/>
    <mergeCell ref="H21:I21"/>
    <mergeCell ref="A22:B22"/>
    <mergeCell ref="H22:I22"/>
    <mergeCell ref="A23:B23"/>
    <mergeCell ref="H23:I23"/>
    <mergeCell ref="A24:B24"/>
    <mergeCell ref="H24:I24"/>
    <mergeCell ref="A25:B25"/>
    <mergeCell ref="H25:I25"/>
    <mergeCell ref="H30:I30"/>
    <mergeCell ref="H31:I31"/>
    <mergeCell ref="A26:B26"/>
    <mergeCell ref="H26:I26"/>
    <mergeCell ref="A27:B27"/>
    <mergeCell ref="H27:I27"/>
    <mergeCell ref="H28:I28"/>
    <mergeCell ref="H29:I29"/>
  </mergeCells>
  <printOptions horizontalCentered="1" verticalCentered="1"/>
  <pageMargins left="0.25" right="0.25" top="0.25" bottom="0.25" header="0.5" footer="0.5"/>
  <pageSetup scale="55" orientation="landscape" horizontalDpi="4294967292" r:id="rId1"/>
  <headerFooter alignWithMargins="0">
    <oddFooter>&amp;L&amp;D&amp;C&amp;Z&amp;F&amp;R&amp;P</oddFooter>
  </headerFooter>
  <rowBreaks count="1" manualBreakCount="1">
    <brk id="42" max="65535" man="1"/>
  </rowBreaks>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from>
                    <xdr:col>13</xdr:col>
                    <xdr:colOff>685800</xdr:colOff>
                    <xdr:row>8</xdr:row>
                    <xdr:rowOff>30480</xdr:rowOff>
                  </from>
                  <to>
                    <xdr:col>13</xdr:col>
                    <xdr:colOff>990600</xdr:colOff>
                    <xdr:row>8</xdr:row>
                    <xdr:rowOff>266700</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from>
                    <xdr:col>13</xdr:col>
                    <xdr:colOff>693420</xdr:colOff>
                    <xdr:row>9</xdr:row>
                    <xdr:rowOff>30480</xdr:rowOff>
                  </from>
                  <to>
                    <xdr:col>13</xdr:col>
                    <xdr:colOff>998220</xdr:colOff>
                    <xdr:row>9</xdr:row>
                    <xdr:rowOff>259080</xdr:rowOff>
                  </to>
                </anchor>
              </controlPr>
            </control>
          </mc:Choice>
        </mc:AlternateContent>
        <mc:AlternateContent xmlns:mc="http://schemas.openxmlformats.org/markup-compatibility/2006">
          <mc:Choice Requires="x14">
            <control shapeId="18435" r:id="rId6" name="Check Box 3">
              <controlPr locked="0" defaultSize="0" autoFill="0" autoLine="0" autoPict="0">
                <anchor moveWithCells="1">
                  <from>
                    <xdr:col>13</xdr:col>
                    <xdr:colOff>685800</xdr:colOff>
                    <xdr:row>10</xdr:row>
                    <xdr:rowOff>22860</xdr:rowOff>
                  </from>
                  <to>
                    <xdr:col>13</xdr:col>
                    <xdr:colOff>990600</xdr:colOff>
                    <xdr:row>10</xdr:row>
                    <xdr:rowOff>236220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174F43B3-9986-4AFF-BDE5-600A3904D5A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Purpose</vt:lpstr>
      <vt:lpstr>Crew Report</vt:lpstr>
      <vt:lpstr>Dropdowns</vt:lpstr>
      <vt:lpstr>Database</vt:lpstr>
      <vt:lpstr>CON-9</vt:lpstr>
      <vt:lpstr>Classification</vt:lpstr>
      <vt:lpstr>COST</vt:lpstr>
      <vt:lpstr>Names</vt:lpstr>
      <vt:lpstr>'CON-9'!Print_Area</vt:lpstr>
      <vt:lpstr>'Crew Report'!Print_Area</vt:lpstr>
      <vt:lpstr>Vehicles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Warehouse Misprint Ticket</dc:title>
  <dc:creator>Nelson Frey</dc:creator>
  <cp:lastModifiedBy>freyn1@gmail.com</cp:lastModifiedBy>
  <cp:lastPrinted>2017-01-05T18:57:35Z</cp:lastPrinted>
  <dcterms:created xsi:type="dcterms:W3CDTF">2015-03-09T22:04:47Z</dcterms:created>
  <dcterms:modified xsi:type="dcterms:W3CDTF">2020-05-18T19:09:19Z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TC101514071033</vt:lpwstr>
  </property>
</Properties>
</file>